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naal882/Documents/GitHub/Diachronic_Treebanks_DigPhil/grex/extraxted_rules/"/>
    </mc:Choice>
  </mc:AlternateContent>
  <xr:revisionPtr revIDLastSave="0" documentId="13_ncr:1_{4C6E7614-97C4-7846-A846-9A2DCEAD1688}" xr6:coauthVersionLast="47" xr6:coauthVersionMax="47" xr10:uidLastSave="{00000000-0000-0000-0000-000000000000}"/>
  <bookViews>
    <workbookView xWindow="39880" yWindow="600" windowWidth="32140" windowHeight="17300" activeTab="1" xr2:uid="{D7EBC92E-0C2C-B14D-AB84-40D5B7A84DFB}"/>
  </bookViews>
  <sheets>
    <sheet name="overview" sheetId="2" r:id="rId1"/>
    <sheet name="rules_aux_SC" sheetId="3" r:id="rId2"/>
    <sheet name="rules_aux_nsubj" sheetId="4" r:id="rId3"/>
    <sheet name="rules_aux_2_CLH_POS" sheetId="6" r:id="rId4"/>
    <sheet name="rules_aux_X_wo_vf" sheetId="7" r:id="rId5"/>
    <sheet name="sent_aux" sheetId="8" r:id="rId6"/>
    <sheet name="sent_aux_nsubj" sheetId="5" r:id="rId7"/>
  </sheets>
  <externalReferences>
    <externalReference r:id="rId8"/>
  </externalReferences>
  <definedNames>
    <definedName name="_xlnm._FilterDatabase" localSheetId="3" hidden="1">rules_aux_2_CLH_POS!$A$8:$I$8</definedName>
    <definedName name="_xlnm._FilterDatabase" localSheetId="2" hidden="1">rules_aux_nsubj!$A$8:$I$8</definedName>
    <definedName name="_xlnm._FilterDatabase" localSheetId="1" hidden="1">rules_aux_SC!$A$8:$I$227</definedName>
    <definedName name="_xlnm._FilterDatabase" localSheetId="4" hidden="1">rules_aux_X_wo_vf!$A$8:$I$8</definedName>
    <definedName name="Total_all">rules_aux_SC!$B$5</definedName>
    <definedName name="Total_pos">rules_aux_SC!$B$6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2" i="3" l="1" a="1"/>
  <c r="K42" i="3" s="1"/>
  <c r="O45" i="3"/>
  <c r="S23" i="3"/>
  <c r="S42" i="3"/>
  <c r="Q38" i="3"/>
  <c r="N42" i="3"/>
  <c r="M43" i="3"/>
  <c r="M42" i="3"/>
  <c r="M38" i="3"/>
  <c r="N39" i="3"/>
  <c r="N40" i="3"/>
  <c r="N41" i="3"/>
  <c r="N43" i="3"/>
  <c r="N44" i="3"/>
  <c r="N45" i="3"/>
  <c r="R39" i="3"/>
  <c r="R40" i="3"/>
  <c r="S40" i="3" s="1"/>
  <c r="O40" i="3" s="1"/>
  <c r="R41" i="3"/>
  <c r="S41" i="3" s="1"/>
  <c r="O41" i="3" s="1"/>
  <c r="R42" i="3"/>
  <c r="R43" i="3"/>
  <c r="S43" i="3" s="1"/>
  <c r="R44" i="3"/>
  <c r="S44" i="3" s="1"/>
  <c r="R45" i="3"/>
  <c r="S45" i="3" s="1"/>
  <c r="S39" i="3"/>
  <c r="S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39" i="3"/>
  <c r="K40" i="3"/>
  <c r="K41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38" i="3"/>
  <c r="M39" i="3"/>
  <c r="P39" i="3"/>
  <c r="Q39" i="3"/>
  <c r="M40" i="3"/>
  <c r="P40" i="3"/>
  <c r="Q40" i="3"/>
  <c r="M41" i="3"/>
  <c r="P41" i="3"/>
  <c r="Q41" i="3"/>
  <c r="P42" i="3"/>
  <c r="Q42" i="3"/>
  <c r="P43" i="3"/>
  <c r="Q43" i="3"/>
  <c r="M44" i="3"/>
  <c r="P44" i="3"/>
  <c r="Q44" i="3"/>
  <c r="M45" i="3"/>
  <c r="P45" i="3"/>
  <c r="Q45" i="3"/>
  <c r="M46" i="3"/>
  <c r="N46" i="3"/>
  <c r="P46" i="3"/>
  <c r="S46" i="3" s="1"/>
  <c r="O46" i="3" s="1"/>
  <c r="Q46" i="3"/>
  <c r="R46" i="3"/>
  <c r="M47" i="3"/>
  <c r="N47" i="3"/>
  <c r="P47" i="3"/>
  <c r="S47" i="3" s="1"/>
  <c r="O47" i="3" s="1"/>
  <c r="Q47" i="3"/>
  <c r="R47" i="3"/>
  <c r="M48" i="3"/>
  <c r="N48" i="3"/>
  <c r="P48" i="3"/>
  <c r="Q48" i="3"/>
  <c r="R48" i="3"/>
  <c r="S48" i="3"/>
  <c r="O48" i="3" s="1"/>
  <c r="M49" i="3"/>
  <c r="N49" i="3"/>
  <c r="P49" i="3"/>
  <c r="Q49" i="3"/>
  <c r="R49" i="3"/>
  <c r="S49" i="3"/>
  <c r="O49" i="3" s="1"/>
  <c r="M50" i="3"/>
  <c r="N50" i="3"/>
  <c r="O50" i="3"/>
  <c r="P50" i="3"/>
  <c r="Q50" i="3"/>
  <c r="R50" i="3"/>
  <c r="S50" i="3"/>
  <c r="M51" i="3"/>
  <c r="N51" i="3"/>
  <c r="P51" i="3"/>
  <c r="S51" i="3" s="1"/>
  <c r="O51" i="3" s="1"/>
  <c r="Q51" i="3"/>
  <c r="R51" i="3"/>
  <c r="M52" i="3"/>
  <c r="N52" i="3"/>
  <c r="P52" i="3"/>
  <c r="S52" i="3" s="1"/>
  <c r="O52" i="3" s="1"/>
  <c r="Q52" i="3"/>
  <c r="R52" i="3"/>
  <c r="M53" i="3"/>
  <c r="N53" i="3"/>
  <c r="P53" i="3"/>
  <c r="S53" i="3" s="1"/>
  <c r="O53" i="3" s="1"/>
  <c r="Q53" i="3"/>
  <c r="R53" i="3"/>
  <c r="M54" i="3"/>
  <c r="N54" i="3"/>
  <c r="P54" i="3"/>
  <c r="S54" i="3" s="1"/>
  <c r="O54" i="3" s="1"/>
  <c r="Q54" i="3"/>
  <c r="R54" i="3"/>
  <c r="M55" i="3"/>
  <c r="N55" i="3"/>
  <c r="P55" i="3"/>
  <c r="S55" i="3" s="1"/>
  <c r="O55" i="3" s="1"/>
  <c r="Q55" i="3"/>
  <c r="R55" i="3"/>
  <c r="M56" i="3"/>
  <c r="N56" i="3"/>
  <c r="P56" i="3"/>
  <c r="Q56" i="3"/>
  <c r="R56" i="3"/>
  <c r="S56" i="3"/>
  <c r="O56" i="3" s="1"/>
  <c r="M57" i="3"/>
  <c r="N57" i="3"/>
  <c r="P57" i="3"/>
  <c r="Q57" i="3"/>
  <c r="R57" i="3"/>
  <c r="S57" i="3"/>
  <c r="O57" i="3" s="1"/>
  <c r="M58" i="3"/>
  <c r="N58" i="3"/>
  <c r="P58" i="3"/>
  <c r="Q58" i="3"/>
  <c r="R58" i="3"/>
  <c r="S58" i="3"/>
  <c r="O58" i="3" s="1"/>
  <c r="M59" i="3"/>
  <c r="N59" i="3"/>
  <c r="P59" i="3"/>
  <c r="S59" i="3" s="1"/>
  <c r="O59" i="3" s="1"/>
  <c r="Q59" i="3"/>
  <c r="R59" i="3"/>
  <c r="M60" i="3"/>
  <c r="N60" i="3"/>
  <c r="P60" i="3"/>
  <c r="S60" i="3" s="1"/>
  <c r="O60" i="3" s="1"/>
  <c r="Q60" i="3"/>
  <c r="R60" i="3"/>
  <c r="M61" i="3"/>
  <c r="N61" i="3"/>
  <c r="P61" i="3"/>
  <c r="S61" i="3" s="1"/>
  <c r="O61" i="3" s="1"/>
  <c r="Q61" i="3"/>
  <c r="R61" i="3"/>
  <c r="M62" i="3"/>
  <c r="N62" i="3"/>
  <c r="P62" i="3"/>
  <c r="S62" i="3" s="1"/>
  <c r="O62" i="3" s="1"/>
  <c r="Q62" i="3"/>
  <c r="R62" i="3"/>
  <c r="M63" i="3"/>
  <c r="N63" i="3"/>
  <c r="P63" i="3"/>
  <c r="S63" i="3" s="1"/>
  <c r="O63" i="3" s="1"/>
  <c r="Q63" i="3"/>
  <c r="R63" i="3"/>
  <c r="M64" i="3"/>
  <c r="N64" i="3"/>
  <c r="P64" i="3"/>
  <c r="Q64" i="3"/>
  <c r="R64" i="3"/>
  <c r="S64" i="3"/>
  <c r="O64" i="3" s="1"/>
  <c r="M65" i="3"/>
  <c r="N65" i="3"/>
  <c r="P65" i="3"/>
  <c r="Q65" i="3"/>
  <c r="R65" i="3"/>
  <c r="S65" i="3"/>
  <c r="O65" i="3" s="1"/>
  <c r="M66" i="3"/>
  <c r="N66" i="3"/>
  <c r="O66" i="3"/>
  <c r="P66" i="3"/>
  <c r="Q66" i="3"/>
  <c r="R66" i="3"/>
  <c r="S66" i="3"/>
  <c r="M67" i="3"/>
  <c r="N67" i="3"/>
  <c r="P67" i="3"/>
  <c r="S67" i="3" s="1"/>
  <c r="O67" i="3" s="1"/>
  <c r="Q67" i="3"/>
  <c r="R67" i="3"/>
  <c r="M68" i="3"/>
  <c r="N68" i="3"/>
  <c r="P68" i="3"/>
  <c r="S68" i="3" s="1"/>
  <c r="O68" i="3" s="1"/>
  <c r="Q68" i="3"/>
  <c r="R68" i="3"/>
  <c r="M69" i="3"/>
  <c r="N69" i="3"/>
  <c r="P69" i="3"/>
  <c r="S69" i="3" s="1"/>
  <c r="O69" i="3" s="1"/>
  <c r="Q69" i="3"/>
  <c r="R69" i="3"/>
  <c r="M70" i="3"/>
  <c r="N70" i="3"/>
  <c r="P70" i="3"/>
  <c r="Q70" i="3"/>
  <c r="R70" i="3"/>
  <c r="M71" i="3"/>
  <c r="N71" i="3"/>
  <c r="P71" i="3"/>
  <c r="Q71" i="3"/>
  <c r="R71" i="3"/>
  <c r="M72" i="3"/>
  <c r="N72" i="3"/>
  <c r="P72" i="3"/>
  <c r="Q72" i="3"/>
  <c r="R72" i="3"/>
  <c r="S72" i="3"/>
  <c r="O72" i="3" s="1"/>
  <c r="M73" i="3"/>
  <c r="N73" i="3"/>
  <c r="P73" i="3"/>
  <c r="Q73" i="3"/>
  <c r="R73" i="3"/>
  <c r="S73" i="3"/>
  <c r="O73" i="3" s="1"/>
  <c r="M74" i="3"/>
  <c r="N74" i="3"/>
  <c r="O74" i="3"/>
  <c r="P74" i="3"/>
  <c r="Q74" i="3"/>
  <c r="R74" i="3"/>
  <c r="S74" i="3"/>
  <c r="M75" i="3"/>
  <c r="N75" i="3"/>
  <c r="P75" i="3"/>
  <c r="S75" i="3" s="1"/>
  <c r="O75" i="3" s="1"/>
  <c r="Q75" i="3"/>
  <c r="R75" i="3"/>
  <c r="M76" i="3"/>
  <c r="N76" i="3"/>
  <c r="O76" i="3"/>
  <c r="P76" i="3"/>
  <c r="S76" i="3" s="1"/>
  <c r="Q76" i="3"/>
  <c r="R76" i="3"/>
  <c r="M77" i="3"/>
  <c r="N77" i="3"/>
  <c r="P77" i="3"/>
  <c r="S77" i="3" s="1"/>
  <c r="O77" i="3" s="1"/>
  <c r="Q77" i="3"/>
  <c r="R77" i="3"/>
  <c r="M78" i="3"/>
  <c r="N78" i="3"/>
  <c r="P78" i="3"/>
  <c r="Q78" i="3"/>
  <c r="R78" i="3"/>
  <c r="M79" i="3"/>
  <c r="N79" i="3"/>
  <c r="P79" i="3"/>
  <c r="S79" i="3" s="1"/>
  <c r="O79" i="3" s="1"/>
  <c r="Q79" i="3"/>
  <c r="R79" i="3"/>
  <c r="M80" i="3"/>
  <c r="N80" i="3"/>
  <c r="P80" i="3"/>
  <c r="Q80" i="3"/>
  <c r="R80" i="3"/>
  <c r="S80" i="3"/>
  <c r="O80" i="3" s="1"/>
  <c r="M81" i="3"/>
  <c r="N81" i="3"/>
  <c r="P81" i="3"/>
  <c r="Q81" i="3"/>
  <c r="R81" i="3"/>
  <c r="S81" i="3"/>
  <c r="O81" i="3" s="1"/>
  <c r="M82" i="3"/>
  <c r="N82" i="3"/>
  <c r="O82" i="3"/>
  <c r="P82" i="3"/>
  <c r="Q82" i="3"/>
  <c r="R82" i="3"/>
  <c r="S82" i="3"/>
  <c r="M83" i="3"/>
  <c r="N83" i="3"/>
  <c r="P83" i="3"/>
  <c r="S83" i="3" s="1"/>
  <c r="O83" i="3" s="1"/>
  <c r="Q83" i="3"/>
  <c r="R83" i="3"/>
  <c r="M84" i="3"/>
  <c r="N84" i="3"/>
  <c r="P84" i="3"/>
  <c r="S84" i="3" s="1"/>
  <c r="O84" i="3" s="1"/>
  <c r="Q84" i="3"/>
  <c r="R84" i="3"/>
  <c r="M85" i="3"/>
  <c r="N85" i="3"/>
  <c r="P85" i="3"/>
  <c r="S85" i="3" s="1"/>
  <c r="O85" i="3" s="1"/>
  <c r="Q85" i="3"/>
  <c r="R85" i="3"/>
  <c r="M86" i="3"/>
  <c r="N86" i="3"/>
  <c r="P86" i="3"/>
  <c r="S86" i="3" s="1"/>
  <c r="O86" i="3" s="1"/>
  <c r="Q86" i="3"/>
  <c r="R86" i="3"/>
  <c r="M87" i="3"/>
  <c r="N87" i="3"/>
  <c r="P87" i="3"/>
  <c r="Q87" i="3"/>
  <c r="R87" i="3"/>
  <c r="M88" i="3"/>
  <c r="N88" i="3"/>
  <c r="P88" i="3"/>
  <c r="Q88" i="3"/>
  <c r="R88" i="3"/>
  <c r="S88" i="3"/>
  <c r="O88" i="3" s="1"/>
  <c r="M89" i="3"/>
  <c r="N89" i="3"/>
  <c r="P89" i="3"/>
  <c r="Q89" i="3"/>
  <c r="R89" i="3"/>
  <c r="S89" i="3"/>
  <c r="O89" i="3" s="1"/>
  <c r="M90" i="3"/>
  <c r="N90" i="3"/>
  <c r="O90" i="3"/>
  <c r="P90" i="3"/>
  <c r="Q90" i="3"/>
  <c r="R90" i="3"/>
  <c r="S90" i="3"/>
  <c r="M91" i="3"/>
  <c r="N91" i="3"/>
  <c r="P91" i="3"/>
  <c r="S91" i="3" s="1"/>
  <c r="O91" i="3" s="1"/>
  <c r="Q91" i="3"/>
  <c r="R91" i="3"/>
  <c r="M92" i="3"/>
  <c r="N92" i="3"/>
  <c r="P92" i="3"/>
  <c r="S92" i="3" s="1"/>
  <c r="O92" i="3" s="1"/>
  <c r="Q92" i="3"/>
  <c r="R92" i="3"/>
  <c r="M93" i="3"/>
  <c r="N93" i="3"/>
  <c r="P93" i="3"/>
  <c r="S93" i="3" s="1"/>
  <c r="O93" i="3" s="1"/>
  <c r="Q93" i="3"/>
  <c r="R93" i="3"/>
  <c r="M94" i="3"/>
  <c r="N94" i="3"/>
  <c r="P94" i="3"/>
  <c r="Q94" i="3"/>
  <c r="R94" i="3"/>
  <c r="M95" i="3"/>
  <c r="N95" i="3"/>
  <c r="P95" i="3"/>
  <c r="Q95" i="3"/>
  <c r="R95" i="3"/>
  <c r="M96" i="3"/>
  <c r="N96" i="3"/>
  <c r="P96" i="3"/>
  <c r="Q96" i="3"/>
  <c r="R96" i="3"/>
  <c r="S96" i="3"/>
  <c r="O96" i="3" s="1"/>
  <c r="M97" i="3"/>
  <c r="N97" i="3"/>
  <c r="P97" i="3"/>
  <c r="Q97" i="3"/>
  <c r="R97" i="3"/>
  <c r="S97" i="3"/>
  <c r="O97" i="3" s="1"/>
  <c r="M98" i="3"/>
  <c r="N98" i="3"/>
  <c r="O98" i="3"/>
  <c r="P98" i="3"/>
  <c r="Q98" i="3"/>
  <c r="R98" i="3"/>
  <c r="S98" i="3"/>
  <c r="M99" i="3"/>
  <c r="N99" i="3"/>
  <c r="P99" i="3"/>
  <c r="S99" i="3" s="1"/>
  <c r="O99" i="3" s="1"/>
  <c r="Q99" i="3"/>
  <c r="R99" i="3"/>
  <c r="M100" i="3"/>
  <c r="N100" i="3"/>
  <c r="O100" i="3"/>
  <c r="P100" i="3"/>
  <c r="S100" i="3" s="1"/>
  <c r="Q100" i="3"/>
  <c r="R100" i="3"/>
  <c r="M101" i="3"/>
  <c r="N101" i="3"/>
  <c r="P101" i="3"/>
  <c r="S101" i="3" s="1"/>
  <c r="O101" i="3" s="1"/>
  <c r="Q101" i="3"/>
  <c r="R101" i="3"/>
  <c r="M102" i="3"/>
  <c r="N102" i="3"/>
  <c r="P102" i="3"/>
  <c r="Q102" i="3"/>
  <c r="R102" i="3"/>
  <c r="M103" i="3"/>
  <c r="N103" i="3"/>
  <c r="P103" i="3"/>
  <c r="S103" i="3" s="1"/>
  <c r="O103" i="3" s="1"/>
  <c r="Q103" i="3"/>
  <c r="R103" i="3"/>
  <c r="M104" i="3"/>
  <c r="N104" i="3"/>
  <c r="P104" i="3"/>
  <c r="Q104" i="3"/>
  <c r="R104" i="3"/>
  <c r="S104" i="3"/>
  <c r="O104" i="3" s="1"/>
  <c r="M105" i="3"/>
  <c r="N105" i="3"/>
  <c r="P105" i="3"/>
  <c r="Q105" i="3"/>
  <c r="R105" i="3"/>
  <c r="S105" i="3"/>
  <c r="O105" i="3" s="1"/>
  <c r="M106" i="3"/>
  <c r="N106" i="3"/>
  <c r="O106" i="3"/>
  <c r="P106" i="3"/>
  <c r="Q106" i="3"/>
  <c r="R106" i="3"/>
  <c r="S106" i="3"/>
  <c r="M107" i="3"/>
  <c r="N107" i="3"/>
  <c r="P107" i="3"/>
  <c r="S107" i="3" s="1"/>
  <c r="O107" i="3" s="1"/>
  <c r="Q107" i="3"/>
  <c r="R107" i="3"/>
  <c r="M108" i="3"/>
  <c r="N108" i="3"/>
  <c r="P108" i="3"/>
  <c r="S108" i="3" s="1"/>
  <c r="O108" i="3" s="1"/>
  <c r="Q108" i="3"/>
  <c r="R108" i="3"/>
  <c r="M109" i="3"/>
  <c r="N109" i="3"/>
  <c r="P109" i="3"/>
  <c r="S109" i="3" s="1"/>
  <c r="O109" i="3" s="1"/>
  <c r="Q109" i="3"/>
  <c r="R109" i="3"/>
  <c r="M110" i="3"/>
  <c r="N110" i="3"/>
  <c r="P110" i="3"/>
  <c r="S110" i="3" s="1"/>
  <c r="O110" i="3" s="1"/>
  <c r="Q110" i="3"/>
  <c r="R110" i="3"/>
  <c r="M111" i="3"/>
  <c r="N111" i="3"/>
  <c r="P111" i="3"/>
  <c r="Q111" i="3"/>
  <c r="R111" i="3"/>
  <c r="M112" i="3"/>
  <c r="N112" i="3"/>
  <c r="P112" i="3"/>
  <c r="Q112" i="3"/>
  <c r="R112" i="3"/>
  <c r="S112" i="3"/>
  <c r="O112" i="3" s="1"/>
  <c r="M113" i="3"/>
  <c r="N113" i="3"/>
  <c r="P113" i="3"/>
  <c r="Q113" i="3"/>
  <c r="R113" i="3"/>
  <c r="S113" i="3"/>
  <c r="O113" i="3" s="1"/>
  <c r="M114" i="3"/>
  <c r="N114" i="3"/>
  <c r="O114" i="3"/>
  <c r="P114" i="3"/>
  <c r="Q114" i="3"/>
  <c r="R114" i="3"/>
  <c r="S114" i="3"/>
  <c r="M115" i="3"/>
  <c r="N115" i="3"/>
  <c r="P115" i="3"/>
  <c r="S115" i="3" s="1"/>
  <c r="O115" i="3" s="1"/>
  <c r="Q115" i="3"/>
  <c r="R115" i="3"/>
  <c r="M116" i="3"/>
  <c r="N116" i="3"/>
  <c r="P116" i="3"/>
  <c r="S116" i="3" s="1"/>
  <c r="O116" i="3" s="1"/>
  <c r="Q116" i="3"/>
  <c r="R116" i="3"/>
  <c r="M117" i="3"/>
  <c r="N117" i="3"/>
  <c r="P117" i="3"/>
  <c r="S117" i="3" s="1"/>
  <c r="O117" i="3" s="1"/>
  <c r="Q117" i="3"/>
  <c r="R117" i="3"/>
  <c r="M118" i="3"/>
  <c r="N118" i="3"/>
  <c r="P118" i="3"/>
  <c r="Q118" i="3"/>
  <c r="R118" i="3"/>
  <c r="M119" i="3"/>
  <c r="N119" i="3"/>
  <c r="P119" i="3"/>
  <c r="Q119" i="3"/>
  <c r="R119" i="3"/>
  <c r="M120" i="3"/>
  <c r="N120" i="3"/>
  <c r="P120" i="3"/>
  <c r="Q120" i="3"/>
  <c r="R120" i="3"/>
  <c r="S120" i="3"/>
  <c r="O120" i="3" s="1"/>
  <c r="M121" i="3"/>
  <c r="N121" i="3"/>
  <c r="P121" i="3"/>
  <c r="Q121" i="3"/>
  <c r="R121" i="3"/>
  <c r="S121" i="3"/>
  <c r="O121" i="3" s="1"/>
  <c r="M122" i="3"/>
  <c r="N122" i="3"/>
  <c r="O122" i="3"/>
  <c r="P122" i="3"/>
  <c r="Q122" i="3"/>
  <c r="R122" i="3"/>
  <c r="S122" i="3"/>
  <c r="M123" i="3"/>
  <c r="N123" i="3"/>
  <c r="P123" i="3"/>
  <c r="S123" i="3" s="1"/>
  <c r="O123" i="3" s="1"/>
  <c r="Q123" i="3"/>
  <c r="R123" i="3"/>
  <c r="M124" i="3"/>
  <c r="N124" i="3"/>
  <c r="P124" i="3"/>
  <c r="S124" i="3" s="1"/>
  <c r="O124" i="3" s="1"/>
  <c r="Q124" i="3"/>
  <c r="R124" i="3"/>
  <c r="M125" i="3"/>
  <c r="N125" i="3"/>
  <c r="P125" i="3"/>
  <c r="S125" i="3" s="1"/>
  <c r="O125" i="3" s="1"/>
  <c r="Q125" i="3"/>
  <c r="R125" i="3"/>
  <c r="M126" i="3"/>
  <c r="N126" i="3"/>
  <c r="P126" i="3"/>
  <c r="S126" i="3" s="1"/>
  <c r="O126" i="3" s="1"/>
  <c r="Q126" i="3"/>
  <c r="R126" i="3"/>
  <c r="M127" i="3"/>
  <c r="N127" i="3"/>
  <c r="P127" i="3"/>
  <c r="S127" i="3" s="1"/>
  <c r="O127" i="3" s="1"/>
  <c r="Q127" i="3"/>
  <c r="R127" i="3"/>
  <c r="M128" i="3"/>
  <c r="N128" i="3"/>
  <c r="P128" i="3"/>
  <c r="S128" i="3" s="1"/>
  <c r="O128" i="3" s="1"/>
  <c r="Q128" i="3"/>
  <c r="R128" i="3"/>
  <c r="M129" i="3"/>
  <c r="N129" i="3"/>
  <c r="P129" i="3"/>
  <c r="S129" i="3" s="1"/>
  <c r="O129" i="3" s="1"/>
  <c r="Q129" i="3"/>
  <c r="R129" i="3"/>
  <c r="M130" i="3"/>
  <c r="N130" i="3"/>
  <c r="P130" i="3"/>
  <c r="S130" i="3" s="1"/>
  <c r="O130" i="3" s="1"/>
  <c r="Q130" i="3"/>
  <c r="R130" i="3"/>
  <c r="M131" i="3"/>
  <c r="N131" i="3"/>
  <c r="P131" i="3"/>
  <c r="S131" i="3" s="1"/>
  <c r="O131" i="3" s="1"/>
  <c r="Q131" i="3"/>
  <c r="R131" i="3"/>
  <c r="M132" i="3"/>
  <c r="N132" i="3"/>
  <c r="P132" i="3"/>
  <c r="S132" i="3" s="1"/>
  <c r="O132" i="3" s="1"/>
  <c r="Q132" i="3"/>
  <c r="R132" i="3"/>
  <c r="M133" i="3"/>
  <c r="N133" i="3"/>
  <c r="P133" i="3"/>
  <c r="S133" i="3" s="1"/>
  <c r="O133" i="3" s="1"/>
  <c r="Q133" i="3"/>
  <c r="R133" i="3"/>
  <c r="M134" i="3"/>
  <c r="N134" i="3"/>
  <c r="P134" i="3"/>
  <c r="S134" i="3" s="1"/>
  <c r="O134" i="3" s="1"/>
  <c r="Q134" i="3"/>
  <c r="R134" i="3"/>
  <c r="M135" i="3"/>
  <c r="N135" i="3"/>
  <c r="P135" i="3"/>
  <c r="S135" i="3" s="1"/>
  <c r="O135" i="3" s="1"/>
  <c r="Q135" i="3"/>
  <c r="R135" i="3"/>
  <c r="M136" i="3"/>
  <c r="N136" i="3"/>
  <c r="P136" i="3"/>
  <c r="S136" i="3" s="1"/>
  <c r="O136" i="3" s="1"/>
  <c r="Q136" i="3"/>
  <c r="R136" i="3"/>
  <c r="M137" i="3"/>
  <c r="N137" i="3"/>
  <c r="P137" i="3"/>
  <c r="S137" i="3" s="1"/>
  <c r="O137" i="3" s="1"/>
  <c r="Q137" i="3"/>
  <c r="R137" i="3"/>
  <c r="M138" i="3"/>
  <c r="N138" i="3"/>
  <c r="P138" i="3"/>
  <c r="S138" i="3" s="1"/>
  <c r="O138" i="3" s="1"/>
  <c r="Q138" i="3"/>
  <c r="R138" i="3"/>
  <c r="M139" i="3"/>
  <c r="N139" i="3"/>
  <c r="P139" i="3"/>
  <c r="S139" i="3" s="1"/>
  <c r="O139" i="3" s="1"/>
  <c r="Q139" i="3"/>
  <c r="R139" i="3"/>
  <c r="M140" i="3"/>
  <c r="N140" i="3"/>
  <c r="P140" i="3"/>
  <c r="S140" i="3" s="1"/>
  <c r="O140" i="3" s="1"/>
  <c r="Q140" i="3"/>
  <c r="R140" i="3"/>
  <c r="M141" i="3"/>
  <c r="N141" i="3"/>
  <c r="P141" i="3"/>
  <c r="S141" i="3" s="1"/>
  <c r="O141" i="3" s="1"/>
  <c r="Q141" i="3"/>
  <c r="R141" i="3"/>
  <c r="M142" i="3"/>
  <c r="N142" i="3"/>
  <c r="P142" i="3"/>
  <c r="S142" i="3" s="1"/>
  <c r="O142" i="3" s="1"/>
  <c r="Q142" i="3"/>
  <c r="R142" i="3"/>
  <c r="M143" i="3"/>
  <c r="N143" i="3"/>
  <c r="P143" i="3"/>
  <c r="S143" i="3" s="1"/>
  <c r="O143" i="3" s="1"/>
  <c r="Q143" i="3"/>
  <c r="R143" i="3"/>
  <c r="M144" i="3"/>
  <c r="N144" i="3"/>
  <c r="P144" i="3"/>
  <c r="S144" i="3" s="1"/>
  <c r="O144" i="3" s="1"/>
  <c r="Q144" i="3"/>
  <c r="R144" i="3"/>
  <c r="M145" i="3"/>
  <c r="N145" i="3"/>
  <c r="P145" i="3"/>
  <c r="S145" i="3" s="1"/>
  <c r="O145" i="3" s="1"/>
  <c r="Q145" i="3"/>
  <c r="R145" i="3"/>
  <c r="M146" i="3"/>
  <c r="N146" i="3"/>
  <c r="P146" i="3"/>
  <c r="S146" i="3" s="1"/>
  <c r="O146" i="3" s="1"/>
  <c r="Q146" i="3"/>
  <c r="R146" i="3"/>
  <c r="M147" i="3"/>
  <c r="N147" i="3"/>
  <c r="P147" i="3"/>
  <c r="S147" i="3" s="1"/>
  <c r="O147" i="3" s="1"/>
  <c r="Q147" i="3"/>
  <c r="R147" i="3"/>
  <c r="M148" i="3"/>
  <c r="N148" i="3"/>
  <c r="P148" i="3"/>
  <c r="S148" i="3" s="1"/>
  <c r="O148" i="3" s="1"/>
  <c r="Q148" i="3"/>
  <c r="R148" i="3"/>
  <c r="M149" i="3"/>
  <c r="N149" i="3"/>
  <c r="P149" i="3"/>
  <c r="S149" i="3" s="1"/>
  <c r="O149" i="3" s="1"/>
  <c r="Q149" i="3"/>
  <c r="R149" i="3"/>
  <c r="M150" i="3"/>
  <c r="N150" i="3"/>
  <c r="P150" i="3"/>
  <c r="S150" i="3" s="1"/>
  <c r="O150" i="3" s="1"/>
  <c r="Q150" i="3"/>
  <c r="R150" i="3"/>
  <c r="M151" i="3"/>
  <c r="N151" i="3"/>
  <c r="P151" i="3"/>
  <c r="S151" i="3" s="1"/>
  <c r="O151" i="3" s="1"/>
  <c r="Q151" i="3"/>
  <c r="R151" i="3"/>
  <c r="M152" i="3"/>
  <c r="N152" i="3"/>
  <c r="P152" i="3"/>
  <c r="S152" i="3" s="1"/>
  <c r="O152" i="3" s="1"/>
  <c r="Q152" i="3"/>
  <c r="R152" i="3"/>
  <c r="M153" i="3"/>
  <c r="N153" i="3"/>
  <c r="P153" i="3"/>
  <c r="S153" i="3" s="1"/>
  <c r="O153" i="3" s="1"/>
  <c r="Q153" i="3"/>
  <c r="R153" i="3"/>
  <c r="M154" i="3"/>
  <c r="N154" i="3"/>
  <c r="P154" i="3"/>
  <c r="S154" i="3" s="1"/>
  <c r="O154" i="3" s="1"/>
  <c r="Q154" i="3"/>
  <c r="R154" i="3"/>
  <c r="M155" i="3"/>
  <c r="N155" i="3"/>
  <c r="P155" i="3"/>
  <c r="S155" i="3" s="1"/>
  <c r="O155" i="3" s="1"/>
  <c r="Q155" i="3"/>
  <c r="R155" i="3"/>
  <c r="M156" i="3"/>
  <c r="N156" i="3"/>
  <c r="P156" i="3"/>
  <c r="S156" i="3" s="1"/>
  <c r="O156" i="3" s="1"/>
  <c r="Q156" i="3"/>
  <c r="R156" i="3"/>
  <c r="M157" i="3"/>
  <c r="N157" i="3"/>
  <c r="P157" i="3"/>
  <c r="S157" i="3" s="1"/>
  <c r="O157" i="3" s="1"/>
  <c r="Q157" i="3"/>
  <c r="R157" i="3"/>
  <c r="M158" i="3"/>
  <c r="N158" i="3"/>
  <c r="P158" i="3"/>
  <c r="S158" i="3" s="1"/>
  <c r="O158" i="3" s="1"/>
  <c r="Q158" i="3"/>
  <c r="R158" i="3"/>
  <c r="M159" i="3"/>
  <c r="N159" i="3"/>
  <c r="P159" i="3"/>
  <c r="S159" i="3" s="1"/>
  <c r="O159" i="3" s="1"/>
  <c r="Q159" i="3"/>
  <c r="R159" i="3"/>
  <c r="M160" i="3"/>
  <c r="N160" i="3"/>
  <c r="P160" i="3"/>
  <c r="S160" i="3" s="1"/>
  <c r="O160" i="3" s="1"/>
  <c r="Q160" i="3"/>
  <c r="R160" i="3"/>
  <c r="M161" i="3"/>
  <c r="N161" i="3"/>
  <c r="P161" i="3"/>
  <c r="S161" i="3" s="1"/>
  <c r="O161" i="3" s="1"/>
  <c r="Q161" i="3"/>
  <c r="R161" i="3"/>
  <c r="M162" i="3"/>
  <c r="N162" i="3"/>
  <c r="P162" i="3"/>
  <c r="S162" i="3" s="1"/>
  <c r="O162" i="3" s="1"/>
  <c r="Q162" i="3"/>
  <c r="R162" i="3"/>
  <c r="M163" i="3"/>
  <c r="N163" i="3"/>
  <c r="P163" i="3"/>
  <c r="S163" i="3" s="1"/>
  <c r="O163" i="3" s="1"/>
  <c r="Q163" i="3"/>
  <c r="R163" i="3"/>
  <c r="M164" i="3"/>
  <c r="N164" i="3"/>
  <c r="P164" i="3"/>
  <c r="S164" i="3" s="1"/>
  <c r="O164" i="3" s="1"/>
  <c r="Q164" i="3"/>
  <c r="R164" i="3"/>
  <c r="M165" i="3"/>
  <c r="N165" i="3"/>
  <c r="P165" i="3"/>
  <c r="S165" i="3" s="1"/>
  <c r="O165" i="3" s="1"/>
  <c r="Q165" i="3"/>
  <c r="R165" i="3"/>
  <c r="M166" i="3"/>
  <c r="N166" i="3"/>
  <c r="P166" i="3"/>
  <c r="S166" i="3" s="1"/>
  <c r="O166" i="3" s="1"/>
  <c r="Q166" i="3"/>
  <c r="R166" i="3"/>
  <c r="M167" i="3"/>
  <c r="N167" i="3"/>
  <c r="P167" i="3"/>
  <c r="S167" i="3" s="1"/>
  <c r="O167" i="3" s="1"/>
  <c r="Q167" i="3"/>
  <c r="R167" i="3"/>
  <c r="R38" i="3"/>
  <c r="P38" i="3"/>
  <c r="N38" i="3"/>
  <c r="O42" i="3" l="1"/>
  <c r="O39" i="3"/>
  <c r="O44" i="3"/>
  <c r="O43" i="3"/>
  <c r="S70" i="3"/>
  <c r="O70" i="3" s="1"/>
  <c r="S111" i="3"/>
  <c r="O111" i="3" s="1"/>
  <c r="S78" i="3"/>
  <c r="O78" i="3" s="1"/>
  <c r="S71" i="3"/>
  <c r="O71" i="3" s="1"/>
  <c r="S94" i="3"/>
  <c r="O94" i="3" s="1"/>
  <c r="S87" i="3"/>
  <c r="O87" i="3" s="1"/>
  <c r="S102" i="3"/>
  <c r="O102" i="3" s="1"/>
  <c r="S95" i="3"/>
  <c r="O95" i="3" s="1"/>
  <c r="S118" i="3"/>
  <c r="O118" i="3" s="1"/>
  <c r="S119" i="3"/>
  <c r="O119" i="3" s="1"/>
  <c r="O3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Anastasiia Aleksandrova</author>
  </authors>
  <commentList>
    <comment ref="L36" authorId="0" shapeId="0" xr:uid="{D1F25520-EB81-BE42-9B70-9EA6E790981C}">
      <text>
        <r>
          <rPr>
            <b/>
            <sz val="10"/>
            <color rgb="FF000000"/>
            <rFont val="Tahoma"/>
            <family val="2"/>
          </rPr>
          <t xml:space="preserve">Anastasiia Aleksandrova:
</t>
        </r>
        <r>
          <rPr>
            <sz val="10"/>
            <color rgb="FF000000"/>
            <rFont val="Calibri"/>
            <family val="2"/>
            <scheme val="minor"/>
          </rPr>
          <t>The coefficient tells us how much that feature pushes the prediction toward or away from the positive class (conclusion-satisfying).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<sst xmlns="http://schemas.openxmlformats.org/spreadsheetml/2006/main" count="3766" uniqueCount="1810">
  <si>
    <t>Scope</t>
  </si>
  <si>
    <t>pattern { CLH-[csubj|ccomp|advcl|acl]-&gt;X; X[VerbForm=Sup]}</t>
  </si>
  <si>
    <t>Conclusion</t>
  </si>
  <si>
    <t>X-[aux]-&gt;Y</t>
  </si>
  <si>
    <t>Scope occurrences</t>
  </si>
  <si>
    <t>Conclusion-satisfying occurrences</t>
  </si>
  <si>
    <t>Pattern</t>
  </si>
  <si>
    <t>Period Predictor</t>
  </si>
  <si>
    <t>p_occs</t>
  </si>
  <si>
    <t>p_q_occs</t>
  </si>
  <si>
    <t>Decision</t>
  </si>
  <si>
    <t>Coef</t>
  </si>
  <si>
    <t>Coverage</t>
  </si>
  <si>
    <t>Precision</t>
  </si>
  <si>
    <t>No</t>
  </si>
  <si>
    <t>yes</t>
  </si>
  <si>
    <t>Yes</t>
  </si>
  <si>
    <t>sentence:meta:period=1700_1749</t>
  </si>
  <si>
    <t>node:X:child:Case=Acc,sentence:meta:period=1700_1749,node:X:child:Number=Sing</t>
  </si>
  <si>
    <t>node:CLH:own:Gender=Com,node:CLH:own:rel_shallow=obl,node:X:own:Voice=Act</t>
  </si>
  <si>
    <t>node:CLH:own:Voice=Act,node:CLH:own:rel_shallow=conj,sentence:meta:period=1850_1899</t>
  </si>
  <si>
    <t>node:CLH:own:Voice=Act,sentence:meta:period=1900_1950</t>
  </si>
  <si>
    <t>no</t>
  </si>
  <si>
    <t>node:CLH:own:Degree=Pos</t>
  </si>
  <si>
    <t>node:CLH:own:Voice=Act,node:X:child:Case=Nom,sentence:meta:period=1850_1899</t>
  </si>
  <si>
    <t>node:X:child:Case=Nom</t>
  </si>
  <si>
    <t>node:CLH:own:Voice=Act,node:X:child:Case=Acc,node:X:child:Definite=Ind</t>
  </si>
  <si>
    <t>node:X:child:Definite=Def,node:X:child:Number=Plur,node:X:own:Voice=Act</t>
  </si>
  <si>
    <t>node:X:child:Gender=Com,node:CLH:own:Voice=Act,node:X:child:PronType=Prs</t>
  </si>
  <si>
    <t>node:X:child:Gender=Neut,node:CLH:own:VerbForm=Inf,node:X:own:Voice=Act</t>
  </si>
  <si>
    <t>node:X:child:Definite=Def,node:X:child:Number=Sing,node:X:child:PronType=Prs</t>
  </si>
  <si>
    <t>node:X:child:Definite=Def,node:X:child:Number=Sing,node:X:own:Voice=Act</t>
  </si>
  <si>
    <t>node:X:child:Case=Nom,node:X:child:Definite=Def,node:X:own:Voice=Act</t>
  </si>
  <si>
    <t>node:X:child:Gender=Com,node:X:child:Number=Sing,node:X:own:Voice=Act</t>
  </si>
  <si>
    <t>node:X:child:Definite=Def,node:X:child:Number=Sing,node:CLH:own:Tense=Pres</t>
  </si>
  <si>
    <t>node:X:child:Case=Nom,node:X:child:Definite=Def,node:X:child:PronType=Prs</t>
  </si>
  <si>
    <t>node:CLH:own:Mood=Ind,node:CLH:own:rel_shallow=root,sentence:meta:period=1900_1950</t>
  </si>
  <si>
    <t>node:X:child:VerbForm=Inf,node:CLH:own:Voice=Act,sentence:meta:period=1750_1799</t>
  </si>
  <si>
    <t>node:X:child:Case=Nom,node:X:child:Definite=Def</t>
  </si>
  <si>
    <t>node:X:child:Gender=Com,node:X:child:Number=Sing</t>
  </si>
  <si>
    <t>node:X:child:Gender=Com</t>
  </si>
  <si>
    <t>node:X:child:Gender=Com,node:X:child:Definite=Ind,node:X:child:Number=Sing</t>
  </si>
  <si>
    <t>node:X:child:Gender=Com,node:X:child:Case=Nom,node:X:child:Number=Sing</t>
  </si>
  <si>
    <t>node:X:child:Case=Nom,node:X:child:Number=Plur,node:X:own:Voice=Act</t>
  </si>
  <si>
    <t>node:X:child:Gender=Neut,node:CLH:own:rel_shallow=root,node:X:child:Number=Plur</t>
  </si>
  <si>
    <t>node:CLH:own:Mood=Ind,node:CLH:own:rel_shallow=conj,node:X:child:Definite=Ind</t>
  </si>
  <si>
    <t>node:CLH:own:Voice=Act,node:CLH:own:VerbForm=Fin,node:X:child:Number=Plur</t>
  </si>
  <si>
    <t>node:CLH:own:Voice=Act,node:X:child:Case=Acc,node:X:child:Number=Plur</t>
  </si>
  <si>
    <t>node:CLH:own:Voice=Act,node:X:child:Number=Plur,node:X:own:Voice=Act</t>
  </si>
  <si>
    <t>node:X:child:Gender=Neut,sentence:meta:period=1750_1799,node:X:child:PronType=Prs</t>
  </si>
  <si>
    <t>node:X:child:Gender=Com,sentence:meta:period=1900_1950,node:X:own:Voice=Act</t>
  </si>
  <si>
    <t>node:X:child:Gender=Com,sentence:meta:period=1900_1950</t>
  </si>
  <si>
    <t>node:CLH:own:Voice=Act,node:X:child:Case=Acc,sentence:meta:period=1900_1950</t>
  </si>
  <si>
    <t>node:X:child:Gender=Com,sentence:meta:period=1750_1799,node:CLH:own:VerbForm=Inf</t>
  </si>
  <si>
    <t>node:X:child:VerbForm=Sup,node:X:child:Gender=Com,sentence:meta:period=1750_1799</t>
  </si>
  <si>
    <t>sentence:meta:period=1900_1950,node:X:child:Definite=Def,node:X:own:Voice=Act</t>
  </si>
  <si>
    <t>node:X:child:Case=Nom,node:CLH:own:rel_shallow=parataxis,node:X:child:PronType=Prs</t>
  </si>
  <si>
    <t>node:X:child:Definite=Def,node:X:child:Number=Sing,node:CLH:own:Number=Sing</t>
  </si>
  <si>
    <t>sentence:meta:period=1850_1899,node:X:child:Definite=Def,node:X:child:PronType=Prs</t>
  </si>
  <si>
    <t>node:X:child:VerbForm=Sup,node:CLH:own:rel_shallow=root,node:X:child:Number=Sing</t>
  </si>
  <si>
    <t>node:CLH:own:Voice=Act,sentence:meta:period=1850_1899,node:X:child:PronType=Prs</t>
  </si>
  <si>
    <t>sentence:meta:period=1900_1950,node:X:child:Definite=Def,node:X:child:Degree=Pos</t>
  </si>
  <si>
    <t>sentence:meta:period=1900_1950,node:X:child:Number=Sing,node:X:child:Degree=Pos</t>
  </si>
  <si>
    <t>node:X:child:Gender=Com,node:X:own:Voice=Act,node:X:child:PronType=Ind</t>
  </si>
  <si>
    <t>node:X:child:Gender=Com,node:X:child:Definite=Ind,node:CLH:own:Number=Sing</t>
  </si>
  <si>
    <t>node:X:child:Case=Nom,node:CLH:own:VerbForm=Sup,node:X:child:PronType=Prs</t>
  </si>
  <si>
    <t>node:CLH:own:Voice=Act,node:CLH:own:rel_shallow=conj,node:X:child:Degree=Pos</t>
  </si>
  <si>
    <t>node:CLH:own:rel_shallow=advcl,sentence:meta:period=1750_1799,node:X:child:Number=Sing</t>
  </si>
  <si>
    <t>node:X:child:Case=Nom,node:CLH:own:rel_shallow=advcl</t>
  </si>
  <si>
    <t>node:CLH:own:Gender=Com,node:X:child:Case=Acc,node:X:child:Definite=Def</t>
  </si>
  <si>
    <t>node:CLH:own:Gender=Com,node:X:child:Case=Acc,node:CLH:own:Case=Nom</t>
  </si>
  <si>
    <t>node:CLH:own:Gender=Com,node:X:child:Case=Acc</t>
  </si>
  <si>
    <t>sentence:meta:period=1750_1799,node:X:child:Number=Sing,node:X:child:PronType=Prs</t>
  </si>
  <si>
    <t>node:CLH:own:Gender=Com,node:X:child:Case=Acc,node:CLH:own:Number=Sing</t>
  </si>
  <si>
    <t>node:X:child:Gender=Com,node:CLH:own:rel_shallow=conj,node:X:child:Degree=Pos</t>
  </si>
  <si>
    <t>sentence:meta:period=1900_1950,node:X:child:PronType=Prs,node:CLH:own:Tense=Past</t>
  </si>
  <si>
    <t>sentence:meta:period=1900_1950,node:X:child:Definite=Def,node:CLH:own:Tense=Past</t>
  </si>
  <si>
    <t>node:X:child:Case=Nom,node:CLH:own:rel_shallow=advcl,node:X:child:Definite=Def</t>
  </si>
  <si>
    <t>node:X:child:Gender=Com,node:CLH:own:Voice=Act,node:CLH:own:rel_shallow=parataxis</t>
  </si>
  <si>
    <t>node:X:child:Gender=Com,sentence:meta:period=1850_1899,node:CLH:own:VerbForm=Inf</t>
  </si>
  <si>
    <t>sentence:meta:period=1750_1799,node:X:own:Voice=Act</t>
  </si>
  <si>
    <t>sentence:meta:period=1800_1849,node:X:child:PronType=Prs</t>
  </si>
  <si>
    <t>node:CLH:own:rel_shallow=root,sentence:meta:period=1750_1799,node:X:child:Definite=Def</t>
  </si>
  <si>
    <t>node:CLH:own:Voice=Act,sentence:meta:period=1750_1799,node:X:own:Voice=Act</t>
  </si>
  <si>
    <t>sentence:meta:period=1800_1849,node:X:child:Number=Sing</t>
  </si>
  <si>
    <t>node:X:child:Case=Nom,sentence:meta:period=1800_1849,node:X:child:PronType=Prs</t>
  </si>
  <si>
    <t>node:X:child:Gender=Com,sentence:meta:period=1800_1849</t>
  </si>
  <si>
    <t>node:X:child:Gender=Neut,sentence:meta:period=1800_1849,node:X:child:Number=Sing</t>
  </si>
  <si>
    <t>node:X:child:Case=Nom,sentence:meta:period=1800_1849,node:X:child:Number=Sing</t>
  </si>
  <si>
    <t>node:X:child:VerbForm=Sup,node:X:child:Gender=Neut,node:CLH:own:rel_shallow=root</t>
  </si>
  <si>
    <t>node:X:child:Gender=Com,node:CLH:own:Voice=Act,sentence:meta:period=1800_1849</t>
  </si>
  <si>
    <t>sentence:meta:period=1800_1849,node:CLH:own:VerbForm=Fin,node:X:child:Number=Sing</t>
  </si>
  <si>
    <t>sentence:meta:period=1800_1849,node:CLH:own:VerbForm=Fin,node:X:child:Definite=Def</t>
  </si>
  <si>
    <t>node:CLH:own:Case=Nom,sentence:meta:period=1900_1950,node:X:child:Number=Sing</t>
  </si>
  <si>
    <t>node:CLH:own:Voice=Act,sentence:meta:period=1750_1799,node:X:child:Number=Plur</t>
  </si>
  <si>
    <t>sentence:meta:period=1750_1799,node:X:child:PronType=Prs,node:CLH:own:Number=Sing</t>
  </si>
  <si>
    <t>node:X:child:Gender=Com,node:CLH:own:Case=Nom,sentence:meta:period=1900_1950</t>
  </si>
  <si>
    <t>node:CLH:own:Gender=Neut,sentence:meta:period=1750_1799</t>
  </si>
  <si>
    <t>node:CLH:own:Voice=Act,node:X:child:Definite=Def,node:X:child:PronType=Prs</t>
  </si>
  <si>
    <t>node:X:child:Gender=Com,node:CLH:own:Case=Nom,node:X:child:PronType=Prs</t>
  </si>
  <si>
    <t>node:CLH:own:Mood=Ind,node:X:child:VerbForm=Sup,node:X:child:PronType=Prs</t>
  </si>
  <si>
    <t>node:CLH:own:Definite=Ind,node:X:child:Gender=Com,node:X:child:PronType=Prs</t>
  </si>
  <si>
    <t>node:CLH:own:rel_shallow=root,sentence:meta:period=1900_1950,node:X:child:Number=Sing</t>
  </si>
  <si>
    <t>node:X:child:Case=Nom,node:CLH:own:VerbForm=Inf,node:X:child:Number=Plur</t>
  </si>
  <si>
    <t>node:X:child:Gender=Com,node:CLH:own:VerbForm=Inf,node:X:child:Number=Sing</t>
  </si>
  <si>
    <t>node:X:child:VerbForm=Sup,node:X:child:Case=Nom,node:CLH:own:rel_shallow=advcl</t>
  </si>
  <si>
    <t>node:X:child:Number=Sing,node:X:own:Voice=Act,node:CLH:own:Tense=Pres</t>
  </si>
  <si>
    <t>node:X:child:Gender=Com,node:X:child:Definite=Def,node:X:child:Number=Plur</t>
  </si>
  <si>
    <t>node:CLH:own:Mood=Ind,node:X:child:PronType=Prs,node:CLH:own:Tense=Past</t>
  </si>
  <si>
    <t>node:X:child:Gender=Neut,node:X:child:Case=Nom,node:X:child:Definite=Def</t>
  </si>
  <si>
    <t>node:X:child:Gender=Com,node:CLH:own:VerbForm=Fin,node:X:child:Definite=Ind</t>
  </si>
  <si>
    <t>node:X:child:Gender=Com,node:X:child:Number=Plur,node:X:child:PronType=Prs</t>
  </si>
  <si>
    <t>node:CLH:own:Mood=Ind,node:X:child:Definite=Def,node:X:child:PronType=Prs</t>
  </si>
  <si>
    <t>node:CLH:own:Mood=Ind,node:X:child:Gender=Com,node:X:child:Number=Sing</t>
  </si>
  <si>
    <t>node:X:child:Case=Nom,node:X:child:Definite=Def,node:X:child:Degree=Pos</t>
  </si>
  <si>
    <t>node:X:child:Gender=Com,node:CLH:own:Voice=Act,node:CLH:own:rel_shallow=conj</t>
  </si>
  <si>
    <t>node:X:child:Gender=Com,node:CLH:own:rel_shallow=root,node:X:child:Definite=Ind</t>
  </si>
  <si>
    <t>node:X:child:Gender=Com,node:CLH:own:VerbForm=Fin,node:X:child:Number=Sing</t>
  </si>
  <si>
    <t>node:X:child:Case=Nom,node:X:child:Degree=Pos,node:X:own:Voice=Act</t>
  </si>
  <si>
    <t>node:CLH:own:Definite=Ind,sentence:meta:period=1850_1899,node:CLH:own:Number=Sing</t>
  </si>
  <si>
    <t>node:CLH:own:Definite=Ind,node:X:child:Case=Nom,sentence:meta:period=1850_1899</t>
  </si>
  <si>
    <t>node:X:child:VerbForm=Sup,node:X:child:Gender=Com,node:X:child:Case=Nom</t>
  </si>
  <si>
    <t>node:X:child:VerbForm=Sup,node:X:child:Gender=Com</t>
  </si>
  <si>
    <t>node:X:child:Definite=Def,node:X:child:Degree=Pos,node:X:own:Voice=Act</t>
  </si>
  <si>
    <t>node:CLH:own:Mood=Ind</t>
  </si>
  <si>
    <t>node:CLH:own:Mood=Ind,node:CLH:own:VerbForm=Fin</t>
  </si>
  <si>
    <t>node:X:child:VerbForm=Sup</t>
  </si>
  <si>
    <t>node:CLH:own:VerbForm=Sup,node:X:child:Degree=Pos,node:X:own:Voice=Act</t>
  </si>
  <si>
    <t>node:CLH:own:VerbForm=Fin</t>
  </si>
  <si>
    <t>node:X:child:VerbForm=Sup,node:X:child:Gender=Com,node:X:own:Voice=Act</t>
  </si>
  <si>
    <t>node:CLH:own:rel_shallow=root,sentence:meta:period=1900_1950,node:X:own:Voice=Act</t>
  </si>
  <si>
    <t>node:X:child:Case=Nom,node:X:own:Voice=Act,node:CLH:own:Tense=Past</t>
  </si>
  <si>
    <t>node:CLH:own:rel_shallow=root,sentence:meta:period=1850_1899,node:X:child:Definite=Def</t>
  </si>
  <si>
    <t>node:X:child:VerbForm=Sup,node:CLH:own:Voice=Act</t>
  </si>
  <si>
    <t>node:CLH:own:Definite=Ind,node:CLH:own:rel_shallow=root,node:X:child:Definite=Def</t>
  </si>
  <si>
    <t>sentence:meta:period=1850_1899,node:CLH:own:VerbForm=Fin</t>
  </si>
  <si>
    <t>node:X:child:VerbForm=Sup,node:X:own:Voice=Act</t>
  </si>
  <si>
    <t>node:CLH:own:rel_shallow=root,node:X:child:Number=Sing,node:X:child:Degree=Pos</t>
  </si>
  <si>
    <t>node:CLH:own:Gender=Com,node:X:child:VerbForm=Inf,node:X:child:PronType=Prs</t>
  </si>
  <si>
    <t>node:CLH:own:Voice=Act,node:X:child:Case=Nom,node:X:child:Degree=Pos</t>
  </si>
  <si>
    <t>sentence:meta:period=1900_1950,node:CLH:own:VerbForm=Fin,node:X:own:Voice=Act</t>
  </si>
  <si>
    <t>node:CLH:own:Voice=Act,node:CLH:own:rel_shallow=root,node:CLH:own:VerbForm=Fin</t>
  </si>
  <si>
    <t>node:CLH:own:Voice=Act,node:X:child:Degree=Pos,node:X:child:PronType=Prs</t>
  </si>
  <si>
    <t>node:CLH:own:Definite=Ind,node:X:child:Gender=Com,node:X:child:Number=Plur</t>
  </si>
  <si>
    <t>node:CLH:own:rel_shallow=conj,node:CLH:own:VerbForm=Inf,node:X:child:Number=Sing</t>
  </si>
  <si>
    <t>node:X:child:Case=Nom,node:CLH:own:rel_shallow=root,node:CLH:own:VerbForm=Inf</t>
  </si>
  <si>
    <t>node:CLH:own:Definite=Ind,node:CLH:own:Gender=Com,sentence:meta:period=1800_1849</t>
  </si>
  <si>
    <t>node:X:child:Polarity=Neg,sentence:meta:period=1900_1950</t>
  </si>
  <si>
    <t>node:X:child:Gender=Com,node:CLH:own:rel_shallow=root,node:X:child:Number=Plur</t>
  </si>
  <si>
    <t>node:CLH:own:Voice=Act,node:X:child:Polarity=Neg</t>
  </si>
  <si>
    <t>node:X:child:VerbForm=Fin,sentence:meta:period=1800_1849,node:X:child:Number=Plur</t>
  </si>
  <si>
    <t>node:CLH:own:Voice=Act,node:CLH:own:rel_shallow=ccomp,node:X:child:Number=Sing</t>
  </si>
  <si>
    <t>sentence:meta:period=1850_1899,node:X:child:Number=Sing,node:CLH:own:Tense=Past</t>
  </si>
  <si>
    <t>node:X:child:VerbForm=Part,node:X:child:Gender=Com,node:CLH:own:Voice=Act</t>
  </si>
  <si>
    <t>node:CLH:own:Voice=Act,sentence:meta:period=1850_1899,node:X:child:Degree=Pos</t>
  </si>
  <si>
    <t>node:X:child:VerbForm=Part,node:CLH:own:Voice=Act,node:X:child:Degree=Pos</t>
  </si>
  <si>
    <t>node:X:child:VerbForm=Inf,node:CLH:own:rel_shallow=conj,node:X:child:Number=Sing</t>
  </si>
  <si>
    <t>node:CLH:own:Definite=Ind,node:X:child:Number=Plur,node:X:child:PronType=Prs</t>
  </si>
  <si>
    <t>node:X:child:VerbForm=Inf,node:X:child:Case=Nom,node:X:child:Definite=Def</t>
  </si>
  <si>
    <t>node:X:child:VerbForm=Inf,node:CLH:own:Degree=Pos,node:X:child:Definite=Def</t>
  </si>
  <si>
    <t>node:CLH:own:Mood=Ind,node:CLH:own:Voice=Pass,node:CLH:own:rel_shallow=root</t>
  </si>
  <si>
    <t>node:X:child:VerbForm=Inf</t>
  </si>
  <si>
    <t>node:X:child:VerbForm=Inf,node:X:child:Gender=Com,node:CLH:own:VerbForm=Fin</t>
  </si>
  <si>
    <t>node:X:child:VerbForm=Inf,node:CLH:own:Voice=Act</t>
  </si>
  <si>
    <t>node:CLH:own:Mood=Ind,node:X:child:VerbForm=Inf,node:CLH:own:rel_shallow=root</t>
  </si>
  <si>
    <t>node:X:child:VerbForm=Inf,node:X:child:Definite=Ind,node:X:child:Number=Plur</t>
  </si>
  <si>
    <t>node:X:child:VerbForm=Inf,node:X:child:Case=Nom,node:X:child:Definite=Ind</t>
  </si>
  <si>
    <t>node:X:child:VerbForm=Inf,node:X:child:Definite=Ind</t>
  </si>
  <si>
    <t>node:CLH:own:Voice=Act,sentence:meta:period=1900_1950,node:CLH:own:Tense=Pres</t>
  </si>
  <si>
    <t>node:X:child:VerbForm=Inf,node:X:child:Definite=Ind,node:X:child:PronType=Prs</t>
  </si>
  <si>
    <t>node:X:child:VerbForm=Inf,node:X:child:Number=Plur,node:X:child:PronType=Prs</t>
  </si>
  <si>
    <t>node:X:child:VerbForm=Inf,node:X:child:Gender=Com,node:X:child:Number=Plur</t>
  </si>
  <si>
    <t>node:X:child:VerbForm=Inf,node:CLH:own:rel_shallow=root,node:X:child:Definite=Def</t>
  </si>
  <si>
    <t>node:X:child:Gender=Com,node:X:child:Case=Acc,sentence:meta:period=1700_1749</t>
  </si>
  <si>
    <t>node:CLH:own:Definite=Ind,node:X:child:VerbForm=Inf,node:CLH:own:rel_shallow=root</t>
  </si>
  <si>
    <t>sentence:meta:period=1700_1749,node:CLH:own:VerbForm=Sup,node:X:child:Definite=Def</t>
  </si>
  <si>
    <t>node:X:child:VerbForm=Inf,node:CLH:own:rel_shallow=root,sentence:meta:period=1800_1849</t>
  </si>
  <si>
    <t>node:X:child:Definite=Def,node:X:child:Degree=Sup,node:X:own:Voice=Act</t>
  </si>
  <si>
    <t>node:X:child:Case=Nom,node:X:child:Degree=Sup,node:X:own:Voice=Act</t>
  </si>
  <si>
    <t>node:X:child:Degree=Sup,node:X:own:Voice=Act</t>
  </si>
  <si>
    <t>node:X:child:VerbForm=Inf,node:CLH:own:Voice=Act,node:X:child:Definite=Ind</t>
  </si>
  <si>
    <t>sentence:meta:period=1700_1749,node:X:own:Voice=Act</t>
  </si>
  <si>
    <t>node:X:child:VerbForm=Inf,node:CLH:own:rel_shallow=advcl,sentence:meta:period=1700_1749</t>
  </si>
  <si>
    <t>node:X:child:VerbForm=Inf,node:CLH:own:VerbForm=Fin,node:CLH:own:Tense=Pres</t>
  </si>
  <si>
    <t>node:CLH:own:Mood=Ind,node:X:child:VerbForm=Inf,node:CLH:own:Tense=Pres</t>
  </si>
  <si>
    <t>node:X:child:VerbForm=Inf,sentence:meta:period=1850_1899,node:CLH:own:VerbForm=Fin</t>
  </si>
  <si>
    <t>node:CLH:own:rel_shallow=acl:relcl,node:X:own:Voice=Act,node:CLH:own:Tense=Pres</t>
  </si>
  <si>
    <t>node:CLH:own:rel_shallow=acl:relcl,node:CLH:own:VerbForm=Fin,node:CLH:own:Tense=Pres</t>
  </si>
  <si>
    <t>node:CLH:own:rel_shallow=acl:relcl,node:CLH:own:Tense=Pres</t>
  </si>
  <si>
    <t>node:X:child:VerbForm=Fin,node:CLH:own:Degree=Pos</t>
  </si>
  <si>
    <t>node:X:child:Case=Nom,sentence:meta:period=1700_1749,node:X:child:PronType=Prs</t>
  </si>
  <si>
    <t>node:X:child:Case=Nom,sentence:meta:period=1700_1749,node:X:child:Definite=Def</t>
  </si>
  <si>
    <t>sentence:meta:period=1700_1749,node:X:child:Definite=Def</t>
  </si>
  <si>
    <t>sentence:meta:period=1700_1749,node:X:child:Definite=Ind</t>
  </si>
  <si>
    <t>sentence:meta:period=1700_1749,node:X:child:Definite=Def,node:X:child:PronType=Prs</t>
  </si>
  <si>
    <t>node:CLH:own:Voice=Act,sentence:meta:period=1700_1749,node:X:child:Definite=Def</t>
  </si>
  <si>
    <t>node:X:child:Gender=Com,sentence:meta:period=1700_1749,node:CLH:own:VerbForm=Fin</t>
  </si>
  <si>
    <t>node:X:child:VerbForm=Fin,node:X:child:Case=Nom,node:CLH:own:rel_shallow=advcl</t>
  </si>
  <si>
    <t>node:CLH:own:rel_shallow=root,sentence:meta:period=1700_1749</t>
  </si>
  <si>
    <t>node:CLH:own:rel_shallow=root,sentence:meta:period=1700_1749,node:X:own:Voice=Act</t>
  </si>
  <si>
    <t>node:X:child:VerbForm=Fin,node:CLH:own:rel_shallow=advcl</t>
  </si>
  <si>
    <t>node:CLH:own:rel_shallow=root,sentence:meta:period=1700_1749,node:X:child:Degree=Pos</t>
  </si>
  <si>
    <t>node:CLH:own:Voice=Act,node:CLH:own:rel_shallow=root,sentence:meta:period=1700_1749</t>
  </si>
  <si>
    <t>node:CLH:own:Mood=Ind,node:CLH:own:rel_shallow=root,sentence:meta:period=1700_1749</t>
  </si>
  <si>
    <t>node:X:child:VerbForm=Fin,sentence:meta:period=1700_1749,node:CLH:own:Tense=Pres</t>
  </si>
  <si>
    <t>node:X:child:VerbForm=Fin</t>
  </si>
  <si>
    <t>node:X:child:VerbForm=Fin,node:CLH:own:Case=Nom,node:X:child:PronType=Prs</t>
  </si>
  <si>
    <t>node:X:child:VerbForm=Fin,node:X:child:Gender=Neut,node:CLH:own:Voice=Act</t>
  </si>
  <si>
    <t>node:X:child:VerbForm=Fin,node:X:child:Number=Sing</t>
  </si>
  <si>
    <t>node:X:child:VerbForm=Fin,node:X:own:Voice=Act</t>
  </si>
  <si>
    <t>node:X:child:VerbForm=Fin,node:X:child:Number=Sing,node:X:own:Voice=Act</t>
  </si>
  <si>
    <t>node:X:child:VerbForm=Fin,node:X:child:Gender=Com,node:X:child:Definite=Def</t>
  </si>
  <si>
    <t>node:X:child:VerbForm=Fin,node:X:child:Definite=Ind,node:X:own:Voice=Act</t>
  </si>
  <si>
    <t>node:X:child:VerbForm=Fin,node:CLH:own:Voice=Act,node:X:child:Number=Sing</t>
  </si>
  <si>
    <t>node:X:child:VerbForm=Fin,node:CLH:own:rel_shallow=conj</t>
  </si>
  <si>
    <t>node:X:child:VerbForm=Fin,node:CLH:own:rel_shallow=root</t>
  </si>
  <si>
    <t>node:X:child:VerbForm=Fin,node:CLH:own:rel_shallow=conj,node:X:own:Voice=Act</t>
  </si>
  <si>
    <t>node:X:child:VerbForm=Fin,node:CLH:own:rel_shallow=conj,node:X:child:Number=Sing</t>
  </si>
  <si>
    <t>node:X:child:VerbForm=Fin,node:X:child:Case=Acc,node:X:own:Voice=Act</t>
  </si>
  <si>
    <t>node:X:child:VerbForm=Fin,node:CLH:own:VerbForm=Fin</t>
  </si>
  <si>
    <t>node:X:child:VerbForm=Fin,node:X:child:Gender=Neut,node:CLH:own:rel_shallow=root</t>
  </si>
  <si>
    <t>node:X:child:VerbForm=Fin,node:X:child:Gender=Neut,node:CLH:own:Number=Sing</t>
  </si>
  <si>
    <t>node:X:child:VerbForm=Fin,node:CLH:own:Voice=Act,node:CLH:own:rel_shallow=conj</t>
  </si>
  <si>
    <t>node:CLH:own:Mood=Ind,node:X:child:VerbForm=Fin,node:CLH:own:rel_shallow=root</t>
  </si>
  <si>
    <t>node:X:child:VerbForm=Fin,node:X:child:Case=Nom,node:CLH:own:Tense=Past</t>
  </si>
  <si>
    <t>node:X:child:VerbForm=Fin,node:CLH:own:VerbForm=Sup,node:X:own:Voice=Act</t>
  </si>
  <si>
    <t>node:X:child:VerbForm=Fin,node:CLH:own:VerbForm=Fin,node:CLH:own:Tense=Past</t>
  </si>
  <si>
    <t>node:X:child:VerbForm=Fin,node:CLH:own:Voice=Act,sentence:meta:period=1900_1950</t>
  </si>
  <si>
    <t>node:X:child:VerbForm=Fin,sentence:meta:period=1700_1749</t>
  </si>
  <si>
    <t>node:X:child:VerbForm=Fin,sentence:meta:period=1900_1950,node:X:child:Number=Plur</t>
  </si>
  <si>
    <t>out of 2244</t>
  </si>
  <si>
    <t>out of 478</t>
  </si>
  <si>
    <t>1700_1749</t>
  </si>
  <si>
    <t>1750_1799</t>
  </si>
  <si>
    <t>1800_1849</t>
  </si>
  <si>
    <t>1850_1899</t>
  </si>
  <si>
    <t>1900_1950</t>
  </si>
  <si>
    <t>Cohen W</t>
  </si>
  <si>
    <r>
      <rPr>
        <sz val="12"/>
        <color theme="1"/>
        <rFont val="Calibri (Body)"/>
      </rPr>
      <t>node:X:child:VerbForm=Fin,</t>
    </r>
    <r>
      <rPr>
        <sz val="12"/>
        <color theme="1"/>
        <rFont val="Calibri"/>
        <family val="2"/>
        <scheme val="minor"/>
      </rPr>
      <t>sentence:meta:period=1700_1749,node:CLH:own:Tense=Past</t>
    </r>
  </si>
  <si>
    <r>
      <rPr>
        <sz val="12"/>
        <color theme="1"/>
        <rFont val="Calibri (Body)"/>
      </rPr>
      <t>node:X:child:VerbForm=Fin</t>
    </r>
    <r>
      <rPr>
        <sz val="12"/>
        <color theme="1"/>
        <rFont val="Calibri"/>
        <family val="2"/>
        <scheme val="minor"/>
      </rPr>
      <t>,node:CLH:own:rel_shallow=acl:relcl,node:X:child:Definite=Def</t>
    </r>
  </si>
  <si>
    <r>
      <rPr>
        <sz val="12"/>
        <color theme="1"/>
        <rFont val="Calibri (Body)"/>
      </rPr>
      <t>node:X:child:VerbForm=Fin</t>
    </r>
    <r>
      <rPr>
        <sz val="12"/>
        <color theme="1"/>
        <rFont val="Calibri"/>
        <family val="2"/>
        <scheme val="minor"/>
      </rPr>
      <t>,node:X:child:Gender=Com,node:X:child:Polarity=Neg</t>
    </r>
  </si>
  <si>
    <r>
      <rPr>
        <sz val="12"/>
        <color theme="1"/>
        <rFont val="Calibri (Body)"/>
      </rPr>
      <t>node:X:child:VerbForm=Fin,</t>
    </r>
    <r>
      <rPr>
        <sz val="12"/>
        <color theme="1"/>
        <rFont val="Calibri"/>
        <family val="2"/>
        <scheme val="minor"/>
      </rPr>
      <t>sentence:meta:period=1700_1749,node:X:child:Definite=Def</t>
    </r>
  </si>
  <si>
    <r>
      <rPr>
        <sz val="12"/>
        <color theme="1"/>
        <rFont val="Calibri (Body)"/>
      </rPr>
      <t>node:X:child:VerbForm=Fin,</t>
    </r>
    <r>
      <rPr>
        <sz val="12"/>
        <color theme="1"/>
        <rFont val="Calibri"/>
        <family val="2"/>
        <scheme val="minor"/>
      </rPr>
      <t>node:X:child:Polarity=Neg</t>
    </r>
  </si>
  <si>
    <r>
      <rPr>
        <sz val="12"/>
        <color theme="1"/>
        <rFont val="Calibri (Body)"/>
      </rPr>
      <t>node:X:child:VerbForm=Fin</t>
    </r>
    <r>
      <rPr>
        <sz val="12"/>
        <color theme="1"/>
        <rFont val="Calibri"/>
        <family val="2"/>
        <scheme val="minor"/>
      </rPr>
      <t>,sentence:meta:period=1700_1749,node:X:child:Definite=Ind</t>
    </r>
  </si>
  <si>
    <r>
      <rPr>
        <sz val="12"/>
        <color theme="1"/>
        <rFont val="Calibri (Body)"/>
      </rPr>
      <t>node:X:child:VerbForm=Fin</t>
    </r>
    <r>
      <rPr>
        <sz val="12"/>
        <color theme="1"/>
        <rFont val="Calibri"/>
        <family val="2"/>
        <scheme val="minor"/>
      </rPr>
      <t>,sentence:meta:period=1700_1749,node:X:own:Voice=Act</t>
    </r>
  </si>
  <si>
    <t>pattern { CLH-[csubj|ccomp|advcl|acl]-&gt;X; X[VerbForm=Sup]; X-[nsubj]-&gt;N }</t>
  </si>
  <si>
    <t>node:N:own:has_child=No,node:X:child:Case=Nom,node:X:child:Definite=Def</t>
  </si>
  <si>
    <t>node:CLH:own:rel_shallow=root,node:N:own:Gender=Com,node:X:child:Definite=Def</t>
  </si>
  <si>
    <t>node:X:child:Case=Nom,node:X:child:Definite=Def,node:X:child:Number=Sing</t>
  </si>
  <si>
    <t>node:CLH:own:rel_shallow=conj,node:X:child:Definite=Def,node:N:own:PronType=Prs</t>
  </si>
  <si>
    <t>node:N:own:has_child=No,node:CLH:own:Mood=Ind,node:X:child:Definite=Def</t>
  </si>
  <si>
    <t>node:N:own:has_child=No,node:CLH:own:Tense=Past,node:X:child:Definite=Def</t>
  </si>
  <si>
    <t>node:N:own:Number=Sing,node:X:child:Definite=Def,node:X:child:Number=Plur</t>
  </si>
  <si>
    <t>node:CLH:own:Tense=Past,node:X:child:Case=Nom,node:X:child:Definite=Def</t>
  </si>
  <si>
    <t>node:CLH:own:Tense=Past,node:X:child:Definite=Def</t>
  </si>
  <si>
    <t>node:N:own:has_child=No,node:X:child:Definite=Def,node:X:child:Number=Plur</t>
  </si>
  <si>
    <t>node:X:child:Definite=Def,node:X:child:Number=Plur</t>
  </si>
  <si>
    <t>node:N:own:Case=Nom,node:X:child:Definite=Def,node:X:child:Number=Plur</t>
  </si>
  <si>
    <t>node:X:child:Definite=Def,node:X:own:Voice=Act,node:X:child:Number=Plur</t>
  </si>
  <si>
    <t>node:X:child:Case=Nom,node:X:child:Definite=Def,node:X:child:Number=Plur</t>
  </si>
  <si>
    <t>node:CLH:own:Mood=Ind,node:X:child:Definite=Def,node:N:child:Case=Nom</t>
  </si>
  <si>
    <t>node:CLH:own:Voice=Act,node:CLH:own:rel_shallow=parataxis,node:X:child:Definite=Def</t>
  </si>
  <si>
    <t>node:CLH:own:Definite=Ind,node:X:child:Definite=Def,node:X:child:Number=Plur</t>
  </si>
  <si>
    <t>sentence:meta:period=1750_1799,node:X:child:Definite=Def</t>
  </si>
  <si>
    <t>sentence:meta:period=1750_1799,node:X:child:Definite=Def,node:X:own:Voice=Act</t>
  </si>
  <si>
    <t>node:X:child:VerbForm=Fin,node:X:child:Definite=Def,node:X:own:Voice=Act</t>
  </si>
  <si>
    <t>node:X:child:VerbForm=Fin,node:X:child:Definite=Def</t>
  </si>
  <si>
    <t>node:X:child:Case=Nom,node:X:child:Definite=Def,node:N:own:PronType=Prs</t>
  </si>
  <si>
    <t>node:X:child:VerbForm=Fin,node:X:child:Definite=Def,node:X:child:Number=Plur</t>
  </si>
  <si>
    <t>node:CLH:own:Voice=Act,node:N:own:Gender=Com,node:X:child:Definite=Def</t>
  </si>
  <si>
    <t>node:CLH:own:VerbForm=Sup,node:X:child:Degree=Pos</t>
  </si>
  <si>
    <t>node:N:own:Number=Sing,node:CLH:own:VerbForm=Fin,node:X:child:Gender=Com</t>
  </si>
  <si>
    <t>node:CLH:own:Voice=Act,node:N:child:Case=Nom,node:N:own:Definite=Ind</t>
  </si>
  <si>
    <t>node:CLH:own:Gender=Com,node:N:own:Definite=Ind</t>
  </si>
  <si>
    <t>node:X:child:Definite=Ind,node:X:child:Gender=Com,node:N:own:PronType=Prs</t>
  </si>
  <si>
    <t>node:CLH:own:Gender=Com,node:X:own:Voice=Act,node:N:own:Definite=Ind</t>
  </si>
  <si>
    <t>node:CLH:own:Tense=Pres,node:X:child:Case=Nom,node:N:own:Gender=Com</t>
  </si>
  <si>
    <t>node:N:child:Gender=Com,node:N:own:Case=Nom,node:N:child:Definite=Def</t>
  </si>
  <si>
    <t>node:N:own:Case=Nom,node:CLH:own:Case=Nom,node:N:own:PronType=Prs</t>
  </si>
  <si>
    <t>node:CLH:own:Mood=Ind,node:N:own:Case=Nom,node:X:child:Number=Sing</t>
  </si>
  <si>
    <t>node:X:child:Case=Nom,node:CLH:own:Voice=Act,node:X:child:Definite=Ind</t>
  </si>
  <si>
    <t>node:CLH:own:Mood=Ind,sentence:meta:period=1850_1899,node:N:own:Definite=Def</t>
  </si>
  <si>
    <t>node:CLH:own:VerbForm=Inf,node:N:own:has_child=No,node:X:child:Definite=Ind</t>
  </si>
  <si>
    <t>node:CLH:own:rel_shallow=root,node:X:child:Number=Sing,node:N:own:PronType=Prs</t>
  </si>
  <si>
    <t>node:CLH:own:Mood=Ind,node:CLH:own:Voice=Act,node:X:child:Number=Sing</t>
  </si>
  <si>
    <t>node:CLH:own:Mood=Ind,node:X:child:Number=Sing</t>
  </si>
  <si>
    <t>node:CLH:own:VerbForm=Fin,node:CLH:own:Mood=Ind,node:X:child:Number=Sing</t>
  </si>
  <si>
    <t>node:N:own:Case=Nom,node:X:child:Gender=Neut,node:N:own:PronType=Prs</t>
  </si>
  <si>
    <t>node:CLH:own:VerbForm=Fin,node:N:own:has_child=No,node:X:child:Degree=Pos</t>
  </si>
  <si>
    <t>node:N:own:Case=Nom,node:X:own:Voice=Act,node:X:child:Degree=Pos</t>
  </si>
  <si>
    <t>node:N:own:Gender=Com,node:X:child:Gender=Com,node:N:child:Number=Sing</t>
  </si>
  <si>
    <t>node:CLH:own:VerbForm=Fin,node:X:child:Case=Nom,node:N:own:Gender=Com</t>
  </si>
  <si>
    <t>node:CLH:own:Tense=Pres,node:X:child:Case=Nom,node:N:own:Definite=Def</t>
  </si>
  <si>
    <t>node:CLH:own:VerbForm=Fin,node:X:own:Voice=Act,node:X:child:Number=Sing</t>
  </si>
  <si>
    <t>node:N:own:Number=Sing,node:CLH:own:VerbForm=Inf,node:CLH:own:rel_shallow=conj</t>
  </si>
  <si>
    <t>node:CLH:own:Definite=Ind,node:CLH:own:rel_shallow=root,node:N:own:Gender=Com</t>
  </si>
  <si>
    <t>node:CLH:own:VerbForm=Inf,node:X:child:Definite=Ind,node:X:child:Gender=Com</t>
  </si>
  <si>
    <t>node:N:own:has_child=No,sentence:meta:period=1850_1899,node:CLH:own:rel_shallow=root</t>
  </si>
  <si>
    <t>node:X:own:Voice=Act,node:X:child:Number=Plur</t>
  </si>
  <si>
    <t>sentence:meta:period=1850_1899,node:CLH:own:rel_shallow=root</t>
  </si>
  <si>
    <t>node:CLH:own:rel_shallow=root,node:X:own:Voice=Act</t>
  </si>
  <si>
    <t>sentence:meta:period=1850_1899,node:CLH:own:rel_shallow=root,node:X:own:Voice=Act</t>
  </si>
  <si>
    <t>node:N:own:has_child=No,node:X:child:Definite=Ind,node:X:child:Gender=Neut</t>
  </si>
  <si>
    <t>node:N:own:has_child=No,node:X:child:VerbForm=Sup,node:CLH:own:Voice=Act</t>
  </si>
  <si>
    <t>node:N:own:Case=Nom,node:CLH:own:Voice=Act,node:X:child:Degree=Pos</t>
  </si>
  <si>
    <t>node:CLH:own:Tense=Past,node:N:own:Case=Nom,node:X:own:Voice=Act</t>
  </si>
  <si>
    <t>node:CLH:own:Voice=Act,node:CLH:own:rel_shallow=conj,node:N:own:PronType=Prs</t>
  </si>
  <si>
    <t>node:CLH:own:VerbForm=Inf,node:X:child:Case=Nom,node:X:child:Gender=Neut</t>
  </si>
  <si>
    <t>node:X:child:Case=Nom,node:N:own:Case=Nom,node:X:child:Number=Plur</t>
  </si>
  <si>
    <t>sentence:meta:period=1850_1899,node:CLH:own:rel_shallow=root,node:X:child:Gender=Com</t>
  </si>
  <si>
    <t>node:CLH:own:Tense=Pres,node:N:own:Gender=Neut,node:X:own:Voice=Act</t>
  </si>
  <si>
    <t>node:CLH:own:Tense=Pres,node:X:child:Case=Nom,node:N:own:PronType=Prs</t>
  </si>
  <si>
    <t>node:X:child:VerbForm=Sup,node:N:own:Gender=Com,node:X:own:Voice=Act</t>
  </si>
  <si>
    <t>node:N:own:Number=Sing,node:CLH:own:Tense=Pres,node:N:own:Gender=Neut</t>
  </si>
  <si>
    <t>node:CLH:own:Definite=Ind,sentence:meta:period=1850_1899,node:CLH:own:Case=Nom</t>
  </si>
  <si>
    <t>node:N:own:Number=Sing,node:X:child:Case=Nom,node:X:child:Gender=Neut</t>
  </si>
  <si>
    <t>node:CLH:own:Number=Sing,node:CLH:own:Definite=Ind,sentence:meta:period=1850_1899</t>
  </si>
  <si>
    <t>node:X:child:Case=Nom,node:X:child:Gender=Com,node:N:child:Definite=Def</t>
  </si>
  <si>
    <t>node:CLH:own:Degree=Pos,node:CLH:own:rel_shallow=root,node:N:own:PronType=Prs</t>
  </si>
  <si>
    <t>node:CLH:own:Tense=Past,sentence:meta:period=1850_1899</t>
  </si>
  <si>
    <t>node:CLH:own:Tense=Past,sentence:meta:period=1850_1899,node:X:own:Voice=Act</t>
  </si>
  <si>
    <t>node:X:child:PronType=Int,node:CLH:own:Voice=Act,node:N:own:Definite=Def</t>
  </si>
  <si>
    <t>node:CLH:own:VerbForm=Inf,node:N:own:Case=Nom,node:CLH:own:rel_shallow=root</t>
  </si>
  <si>
    <t>node:N:own:Number=Sing,node:CLH:own:Voice=Act,node:N:child:Case=Nom</t>
  </si>
  <si>
    <t>node:N:own:Number=Plur,node:N:own:has_child=No,node:CLH:own:Definite=Ind</t>
  </si>
  <si>
    <t>node:X:child:Case=Acc,sentence:meta:period=1700_1749,node:N:own:Gender=Com</t>
  </si>
  <si>
    <t>node:X:child:Case=Nom,node:N:child:Gender=Com,node:N:child:Number=Sing</t>
  </si>
  <si>
    <t>node:CLH:own:Tense=Past,node:CLH:own:rel_shallow=root,node:X:own:Voice=Act</t>
  </si>
  <si>
    <t>node:N:child:Gender=Com,node:CLH:own:rel_shallow=root,node:X:child:Number=Sing</t>
  </si>
  <si>
    <t>node:N:own:Number=Sing,node:CLH:own:VerbForm=Fin,node:X:child:Gender=Neut</t>
  </si>
  <si>
    <t>node:N:own:has_child=No,node:X:child:VerbForm=Fin,sentence:meta:period=1800_1849</t>
  </si>
  <si>
    <t>node:CLH:own:Tense=Past,node:CLH:own:rel_shallow=root,node:X:child:Gender=Com</t>
  </si>
  <si>
    <t>node:X:child:VerbForm=Inf,node:X:own:Voice=Act</t>
  </si>
  <si>
    <t>node:N:own:Number=Plur,node:CLH:own:Voice=Act,sentence:meta:period=1750_1799</t>
  </si>
  <si>
    <t>node:N:own:has_child=No,node:X:child:VerbForm=Inf,node:X:own:Voice=Act</t>
  </si>
  <si>
    <t>node:N:child:Gender=Com,node:CLH:own:rel_shallow=root,node:X:child:Gender=Com</t>
  </si>
  <si>
    <t>node:CLH:own:rel_shallow=root,node:X:child:Gender=Com,node:N:child:Number=Sing</t>
  </si>
  <si>
    <t>node:X:child:Case=Nom,sentence:meta:period=1900_1950,node:CLH:own:Case=Nom</t>
  </si>
  <si>
    <t>node:CLH:own:Tense=Pres,node:N:own:Case=Nom,sentence:meta:period=1750_1799</t>
  </si>
  <si>
    <t>node:N:own:Number=Sing,node:X:child:VerbForm=Sup,node:X:child:Gender=Com</t>
  </si>
  <si>
    <t>node:CLH:own:Number=Sing,sentence:meta:period=1750_1799,node:N:own:Gender=Com</t>
  </si>
  <si>
    <t>node:N:own:has_child=No,node:CLH:own:Gender=Com,node:CLH:own:Degree=Pos</t>
  </si>
  <si>
    <t>node:N:child:Gender=Com,node:CLH:own:Voice=Act,node:CLH:own:rel_shallow=root</t>
  </si>
  <si>
    <t>node:X:child:PronType=Prs,node:N:own:Case=Nom,node:X:child:Number=Plur</t>
  </si>
  <si>
    <t>node:CLH:own:Voice=Act,sentence:meta:period=1800_1849,node:X:own:Voice=Act</t>
  </si>
  <si>
    <t>node:CLH:own:Voice=Act,sentence:meta:period=1800_1849</t>
  </si>
  <si>
    <t>sentence:meta:period=1800_1849</t>
  </si>
  <si>
    <t>sentence:meta:period=1800_1849,node:X:own:Voice=Act</t>
  </si>
  <si>
    <t>node:N:own:Case=Nom,sentence:meta:period=1750_1799,node:CLH:own:rel_shallow=root</t>
  </si>
  <si>
    <t>node:N:own:has_child=No,node:X:child:VerbForm=Sup,node:N:own:Definite=Ind</t>
  </si>
  <si>
    <t>node:CLH:own:VerbForm=Fin,node:X:child:VerbForm=Inf,node:X:child:Gender=Com</t>
  </si>
  <si>
    <t>node:X:child:VerbForm=Fin,sentence:meta:period=1800_1849</t>
  </si>
  <si>
    <t>node:X:child:Case=Nom,node:CLH:own:Voice=Act,node:N:child:rel_shallow=nmod:poss</t>
  </si>
  <si>
    <t>node:X:child:VerbForm=Fin,sentence:meta:period=1800_1849,node:X:own:Voice=Act</t>
  </si>
  <si>
    <t>node:N:own:Number=Plur,node:X:child:VerbForm=Inf</t>
  </si>
  <si>
    <t>node:CLH:own:Voice=Act,node:CLH:own:rel_shallow=parataxis,node:X:child:Number=Sing</t>
  </si>
  <si>
    <t>node:CLH:own:Number=Sing,node:CLH:own:Gender=Com,node:X:child:Case=Acc</t>
  </si>
  <si>
    <t>node:CLH:own:Voice=Act,sentence:meta:period=1750_1799</t>
  </si>
  <si>
    <t>node:N:own:Number=Plur,node:X:child:VerbForm=Inf,node:X:own:Voice=Act</t>
  </si>
  <si>
    <t>node:N:own:has_child=No,node:X:child:VerbForm=Inf,node:CLH:own:rel_shallow=root</t>
  </si>
  <si>
    <t>sentence:meta:period=1750_1799,node:CLH:own:rel_shallow=root,node:X:child:Gender=Com</t>
  </si>
  <si>
    <t>node:N:own:Number=Sing,node:CLH:own:Tense=Past,sentence:meta:period=1900_1950</t>
  </si>
  <si>
    <t>node:N:own:Number=Sing,node:CLH:own:Tense=Pres,sentence:meta:period=1700_1749</t>
  </si>
  <si>
    <t>node:X:child:PronType=Prs,node:X:child:VerbForm=Inf,node:X:own:Voice=Act</t>
  </si>
  <si>
    <t>node:N:own:has_child=No,node:X:child:VerbForm=Inf,node:N:own:Definite=Ind</t>
  </si>
  <si>
    <t>node:X:child:VerbForm=Inf,node:CLH:own:rel_shallow=root,node:X:own:Voice=Act</t>
  </si>
  <si>
    <t>node:X:child:VerbForm=Inf,node:CLH:own:rel_shallow=root,node:N:own:PronType=Prs</t>
  </si>
  <si>
    <t>node:CLH:own:Tense=Pres,node:CLH:own:Voice=Act,sentence:meta:period=1900_1950</t>
  </si>
  <si>
    <t>node:X:child:Case=Nom,node:X:child:VerbForm=Inf</t>
  </si>
  <si>
    <t>node:X:child:Case=Nom,node:X:child:VerbForm=Inf,node:X:own:Voice=Act</t>
  </si>
  <si>
    <t>node:N:own:Number=Sing,node:N:own:has_child=No,node:CLH:own:Degree=Pos</t>
  </si>
  <si>
    <t>node:N:own:has_child=No,node:X:child:Case=Nom,node:X:child:VerbForm=Inf</t>
  </si>
  <si>
    <t>node:X:child:VerbForm=Inf,node:X:child:Definite=Ind,node:X:child:Gender=Com</t>
  </si>
  <si>
    <t>node:N:own:has_child=No,node:X:child:VerbForm=Inf,node:X:child:Definite=Ind</t>
  </si>
  <si>
    <t>node:X:child:Case=Nom,node:X:child:VerbForm=Inf,node:CLH:own:Voice=Act</t>
  </si>
  <si>
    <t>node:N:own:Case=Nom,node:CLH:own:Definite=Def</t>
  </si>
  <si>
    <t>node:N:own:Number=Plur,node:X:child:VerbForm=Inf,node:CLH:own:rel_shallow=root</t>
  </si>
  <si>
    <t>node:CLH:own:Tense=Past,sentence:meta:period=1900_1950,node:N:own:Gender=Com</t>
  </si>
  <si>
    <t>node:N:own:Number=Plur,node:X:child:VerbForm=Inf,node:N:own:PronType=Prs</t>
  </si>
  <si>
    <t>node:CLH:own:VerbForm=Inf,node:CLH:own:Voice=Act,sentence:meta:period=1750_1799</t>
  </si>
  <si>
    <t>node:N:own:Number=Sing,sentence:meta:period=1750_1799,node:CLH:own:rel_shallow=advcl</t>
  </si>
  <si>
    <t>node:CLH:own:Number=Sing,node:N:own:Gender=Com,node:X:child:Gender=Com</t>
  </si>
  <si>
    <t>node:X:child:Case=Nom,node:X:child:VerbForm=Sup,node:CLH:own:rel_shallow=root</t>
  </si>
  <si>
    <t>node:N:own:Number=Plur,node:X:child:VerbForm=Inf,node:X:child:Gender=Com</t>
  </si>
  <si>
    <t>node:X:child:VerbForm=Fin,node:CLH:own:Degree=Pos,node:X:own:Voice=Act</t>
  </si>
  <si>
    <t>node:X:child:Case=Nom,sentence:meta:period=1700_1749,node:X:child:Definite=Ind</t>
  </si>
  <si>
    <t>node:N:own:has_child=No,node:X:child:PronType=Rel</t>
  </si>
  <si>
    <t>node:X:child:Case=Nom,node:N:own:Case=Nom,sentence:meta:period=1700_1749</t>
  </si>
  <si>
    <t>node:N:own:Gender=Com,node:N:own:Definite=Ind,node:N:child:Definite=Def</t>
  </si>
  <si>
    <t>node:X:child:Case=Nom,node:X:child:VerbForm=Inf,node:X:child:Number=Plur</t>
  </si>
  <si>
    <t>node:X:child:Case=Nom,node:CLH:own:Voice=Act,sentence:meta:period=1700_1749</t>
  </si>
  <si>
    <t>sentence:meta:period=1700_1749,node:X:child:Definite=Ind,node:N:own:Definite=Def</t>
  </si>
  <si>
    <t>node:X:child:Case=Nom,sentence:meta:period=1900_1950,node:X:child:Number=Sing</t>
  </si>
  <si>
    <t>node:N:own:Number=Sing,sentence:meta:period=1900_1950,node:X:child:Degree=Pos</t>
  </si>
  <si>
    <t>node:N:own:Case=Nom,sentence:meta:period=1700_1749,node:X:child:Degree=Pos</t>
  </si>
  <si>
    <t>node:CLH:own:VerbForm=Inf,node:X:child:VerbForm=Fin,node:N:own:Definite=Def</t>
  </si>
  <si>
    <t>node:X:child:VerbForm=Fin,sentence:meta:period=1850_1899,node:N:own:PronType=Prs</t>
  </si>
  <si>
    <t>sentence:meta:period=1700_1749,node:CLH:own:rel_shallow=root,node:X:own:Voice=Act</t>
  </si>
  <si>
    <t>node:X:child:PronType=Prs,node:X:child:VerbForm=Inf,sentence:meta:period=1700_1749</t>
  </si>
  <si>
    <t>node:N:own:Number=Plur,node:X:child:Case=Nom,node:X:child:Gender=Neut</t>
  </si>
  <si>
    <t>node:CLH:own:Tense=Pres,node:X:child:VerbForm=Fin,node:N:own:Definite=Ind</t>
  </si>
  <si>
    <t>sentence:meta:period=1900_1950,node:N:own:Gender=Com,node:X:child:Gender=Com</t>
  </si>
  <si>
    <t>node:X:child:VerbForm=Inf,sentence:meta:period=1700_1749,node:N:own:Definite=Def</t>
  </si>
  <si>
    <t>node:N:own:Number=Sing,node:X:child:VerbForm=Fin,sentence:meta:period=1850_1899</t>
  </si>
  <si>
    <t>node:N:own:Number=Sing,node:CLH:own:VerbForm=Sup,node:X:child:Number=Sing</t>
  </si>
  <si>
    <t>node:N:own:has_child=No,node:CLH:own:Number=Sing,node:X:child:Gender=Com</t>
  </si>
  <si>
    <t>node:X:child:Case=Nom,node:X:child:PronType=Prs,node:X:child:VerbForm=Fin</t>
  </si>
  <si>
    <t>node:N:own:Case=Nom,sentence:meta:period=1850_1899,node:N:own:PronType=Prs</t>
  </si>
  <si>
    <t>node:N:child:Case=Nom,node:N:own:Definite=Ind,node:X:child:Gender=Com</t>
  </si>
  <si>
    <t>node:X:child:Case=Nom,sentence:meta:period=1900_1950,node:X:child:Gender=Com</t>
  </si>
  <si>
    <t>node:N:own:Number=Sing,node:N:own:has_child=No,node:CLH:own:rel_shallow=parataxis</t>
  </si>
  <si>
    <t>node:X:child:VerbForm=Fin,sentence:meta:period=1850_1899</t>
  </si>
  <si>
    <t>node:X:child:VerbForm=Fin,sentence:meta:period=1850_1899,node:X:own:Voice=Act</t>
  </si>
  <si>
    <t>node:N:own:Number=Sing,node:X:child:VerbForm=Fin</t>
  </si>
  <si>
    <t>node:N:own:Number=Sing,node:X:child:VerbForm=Fin,node:X:own:Voice=Act</t>
  </si>
  <si>
    <t>node:X:child:VerbForm=Fin,node:N:own:Definite=Ind,node:X:child:Gender=Com</t>
  </si>
  <si>
    <t>node:X:child:Case=Acc,node:N:child:Case=Nom,node:X:child:Number=Sing</t>
  </si>
  <si>
    <t>node:CLH:own:VerbForm=Inf,node:N:own:has_child=No,node:N:own:Gender=Com</t>
  </si>
  <si>
    <t>node:X:child:VerbForm=Fin,node:N:own:Case=Nom</t>
  </si>
  <si>
    <t>node:X:child:VerbForm=Fin,node:N:own:Case=Nom,node:X:own:Voice=Act</t>
  </si>
  <si>
    <t>node:X:child:VerbForm=Fin,node:X:child:Definite=Ind,node:X:child:Number=Sing</t>
  </si>
  <si>
    <t>node:X:child:VerbForm=Fin,node:N:own:Case=Nom,node:X:child:Definite=Ind</t>
  </si>
  <si>
    <t>node:X:child:Case=Nom,node:X:child:VerbForm=Fin,node:N:own:Case=Nom</t>
  </si>
  <si>
    <t>node:X:child:VerbForm=Fin,node:CLH:own:Voice=Act</t>
  </si>
  <si>
    <t>node:X:child:Case=Nom,node:X:child:PronType=Prs,node:N:own:PronType=Prs</t>
  </si>
  <si>
    <t>node:X:child:Case=Nom,node:X:child:VerbForm=Fin,sentence:meta:period=1850_1899</t>
  </si>
  <si>
    <t>node:X:child:Case=Nom,node:X:child:Definite=Ind,node:N:own:Definite=Ind</t>
  </si>
  <si>
    <t>node:X:child:PronType=Prs,node:N:own:Gender=Com,node:N:own:PronType=Prs</t>
  </si>
  <si>
    <t>node:N:own:has_child=No,node:N:own:Gender=Com,node:X:child:Gender=Com</t>
  </si>
  <si>
    <t>node:N:own:Number=Sing,node:X:child:Case=Acc,node:N:own:Gender=Com</t>
  </si>
  <si>
    <t>node:X:child:VerbForm=Fin,node:CLH:own:Voice=Act,node:X:own:Voice=Act</t>
  </si>
  <si>
    <t>node:CLH:own:Number=Sing,node:N:own:Case=Nom</t>
  </si>
  <si>
    <t>node:X:child:VerbForm=Sup,node:N:own:Case=Nom,sentence:meta:period=1850_1899</t>
  </si>
  <si>
    <t>node:X:child:VerbForm=Fin,node:X:child:Definite=Ind,node:X:child:Gender=Com</t>
  </si>
  <si>
    <t>node:N:own:Number=Sing,node:X:child:VerbForm=Fin,node:X:child:Gender=Neut</t>
  </si>
  <si>
    <t>node:X:child:VerbForm=Fin,node:N:own:Case=Nom,node:CLH:own:rel_shallow=conj</t>
  </si>
  <si>
    <t>node:CLH:own:Number=Sing,node:N:own:Case=Nom,node:X:own:Voice=Act</t>
  </si>
  <si>
    <t>node:CLH:own:Tense=Pres,node:N:own:Case=Nom,node:X:child:Gender=Com</t>
  </si>
  <si>
    <t>node:N:own:Number=Sing,node:N:own:has_child=No,node:N:own:Case=Nom</t>
  </si>
  <si>
    <t>node:CLH:own:rel_shallow=advcl,node:N:own:Gender=Com,node:X:child:Degree=Pos</t>
  </si>
  <si>
    <t>node:X:child:VerbForm=Fin,node:CLH:own:rel_shallow=root,node:X:own:Voice=Act</t>
  </si>
  <si>
    <t>node:N:child:Gender=Com,node:N:own:Gender=Com,node:N:child:Definite=Def</t>
  </si>
  <si>
    <t>node:X:child:VerbForm=Fin,node:CLH:own:rel_shallow=root,node:X:child:Gender=Com</t>
  </si>
  <si>
    <t>node:X:child:VerbForm=Fin,sentence:meta:period=1750_1799,node:N:child:Definite=Ind</t>
  </si>
  <si>
    <t>node:N:own:Number=Sing,node:N:own:Case=Nom,node:N:own:Gender=Com</t>
  </si>
  <si>
    <t>node:N:own:has_child=No,node:N:own:Gender=Com,node:X:child:Number=Sing</t>
  </si>
  <si>
    <t>node:CLH:own:VerbForm=Fin,node:X:child:VerbForm=Fin,node:N:own:Case=Nom</t>
  </si>
  <si>
    <t>sentence:meta:period=1850_1899,node:X:own:Voice=Act</t>
  </si>
  <si>
    <t>node:N:own:Number=Sing,node:N:own:Case=Nom,node:X:child:Definite=Ind</t>
  </si>
  <si>
    <t>node:N:own:has_child=No,node:X:child:Case=Nom,node:N:own:Case=Nom</t>
  </si>
  <si>
    <t>node:N:own:Number=Sing,node:X:child:PronType=Prs,node:N:own:Case=Nom</t>
  </si>
  <si>
    <t>node:X:child:Case=Nom,node:X:child:PronType=Prs,node:N:own:Definite=Def</t>
  </si>
  <si>
    <t>node:CLH:own:Tense=Past,node:X:child:VerbForm=Fin,node:N:own:Case=Nom</t>
  </si>
  <si>
    <t>node:X:child:VerbForm=Fin,node:CLH:own:rel_shallow=root,node:X:child:Gender=Neut</t>
  </si>
  <si>
    <t>node:CLH:own:VerbForm=Sup,node:X:child:VerbForm=Fin,node:X:own:Voice=Act</t>
  </si>
  <si>
    <t>node:N:own:has_child=No,node:X:child:Case=Nom,node:X:child:Gender=Com</t>
  </si>
  <si>
    <t>node:X:child:Case=Nom,node:X:child:VerbForm=Fin,node:N:child:Gender=Com</t>
  </si>
  <si>
    <t>node:N:own:Number=Sing,node:N:own:Case=Nom</t>
  </si>
  <si>
    <t>node:N:own:Number=Sing,node:N:own:Case=Nom,node:X:own:Voice=Act</t>
  </si>
  <si>
    <t>node:N:own:Definite=Def</t>
  </si>
  <si>
    <t>node:X:child:VerbForm=Fin,sentence:meta:period=1700_1749,node:N:own:Gender=Com</t>
  </si>
  <si>
    <t>sentence:meta:period=1750_1799,node:X:child:Number=Sing,node:X:child:Gender=Neut</t>
  </si>
  <si>
    <t>node:N:own:Number=Sing,node:CLH:own:Tense=Pres,node:X:own:Voice=Act</t>
  </si>
  <si>
    <t>node:N:own:Case=Nom,node:N:own:Definite=Ind,node:X:child:Number=Sing</t>
  </si>
  <si>
    <t>node:N:child:upos=DET,node:N:child:rel_shallow=det</t>
  </si>
  <si>
    <t>node:X:child:VerbForm=Fin,sentence:meta:period=1700_1749,node:X:own:Voice=Act</t>
  </si>
  <si>
    <t>node:CLH:own:Case=Nom,node:N:own:Gender=Com,node:N:own:PronType=Prs</t>
  </si>
  <si>
    <t>node:N:own:has_child=No,node:X:child:VerbForm=Sup,sentence:meta:period=1750_1799</t>
  </si>
  <si>
    <t>node:N:own:has_child=No,node:X:child:Case=Nom,node:X:child:Number=Sing</t>
  </si>
  <si>
    <t>node:X:child:Polarity=Neg,node:X:child:VerbForm=Fin</t>
  </si>
  <si>
    <t>node:N:own:Number=Sing,node:X:child:Case=Acc,node:X:child:Number=Sing</t>
  </si>
  <si>
    <t>node:CLH:own:VerbForm=Fin,node:X:child:Number=Plur,node:X:child:Gender=Com</t>
  </si>
  <si>
    <t>node:X:child:Polarity=Neg,node:X:child:VerbForm=Fin,node:X:own:Voice=Act</t>
  </si>
  <si>
    <t>node:N:own:Definite=Def,node:X:child:Number=Sing,node:X:child:Gender=Com</t>
  </si>
  <si>
    <t>node:N:own:Case=Nom</t>
  </si>
  <si>
    <t>node:X:child:VerbForm=Fin,node:N:own:Case=Nom,sentence:meta:period=1700_1749</t>
  </si>
  <si>
    <t>node:X:child:Case=Nom,node:X:child:VerbForm=Fin,sentence:meta:period=1700_1749</t>
  </si>
  <si>
    <t>node:X:child:Case=Nom,node:X:child:VerbForm=Fin,node:N:child:rel_shallow=nmod:poss</t>
  </si>
  <si>
    <t>node:X:child:Definite=Ind,node:N:own:Definite=Def,node:X:child:Gender=Com</t>
  </si>
  <si>
    <t>node:CLH:own:VerbForm=Inf,node:CLH:own:Voice=Act,node:N:own:PronType=Prs</t>
  </si>
  <si>
    <t>node:CLH:own:VerbForm=Fin,node:N:own:has_child=No,node:X:child:Definite=Ind</t>
  </si>
  <si>
    <t>node:X:child:VerbForm=Fin,node:CLH:own:rel_shallow=acl:relcl</t>
  </si>
  <si>
    <t>node:X:child:VerbForm=Fin,node:CLH:own:rel_shallow=acl:relcl,node:X:own:Voice=Act</t>
  </si>
  <si>
    <t>node:CLH:own:Voice=Act,node:CLH:own:rel_shallow=root,node:N:own:Gender=Com</t>
  </si>
  <si>
    <t>node:N:own:has_child=No,node:X:child:Polarity=Neg,node:X:child:VerbForm=Fin</t>
  </si>
  <si>
    <t>node:X:child:VerbForm=Fin,sentence:meta:period=1700_1749,node:CLH:own:rel_shallow=root</t>
  </si>
  <si>
    <t>node:X:child:Case=Acc,node:X:child:VerbForm=Fin,node:X:child:Number=Plur</t>
  </si>
  <si>
    <t>node:CLH:own:Mood=Ind,node:N:own:Definite=Def,node:N:own:PronType=Prs</t>
  </si>
  <si>
    <t>sent_id: 1900_1950_165_sec1018 | rules: sentence:meta:period=1900_1950, node:X:own:Voice=Act, node:N:own:Case=Nom, node:N:own:Definite=Def, node:N:own:Gender=Neut, node:N:own:Number=Sing, node:N:own:has_child=No, node:CLH:own:Mood=Ind, node:CLH:own:Tense=Past, node:CLH:own:VerbForm=Fin, node:CLH:own:Voice=Pass, node:CLH:own:upos=VERB, node:CLH:own:rel_shallow=root</t>
  </si>
  <si>
    <t>sent_id: 1900_1950_269_sec1018 | rules: sentence:meta:period=1900_1950, node:X:own:Voice=Act, node:X:child:Case={'Nom'}, node:X:child:Definite={'Def'}, node:X:child:Gender={'Com'}, node:X:child:Number={'Sing'}, node:N:own:Case=Nom, node:N:own:Definite=Def, node:N:own:Gender=Com, node:N:own:Number=Plur, node:N:own:PronType=Prs, node:N:own:has_child=No, node:CLH:own:Mood=Ind, node:CLH:own:Tense=Past, node:CLH:own:VerbForm=Fin, node:CLH:own:Voice=Act, node:CLH:own:upos=VERB, node:CLH:own:rel_shallow=root</t>
  </si>
  <si>
    <t>sent_id: 1900_1950_373_sec1018 | rules: sentence:meta:period=1900_1950, node:X:own:Voice=Act, node:X:child:Case={'Nom'}, node:X:child:Definite={'Ind'}, node:X:child:Gender={'Com'}, node:X:child:Number={'Sing'}, node:N:own:Case=Nom, node:N:own:Definite=Ind, node:N:own:Gender=Com, node:N:own:Number=Sing, node:N:child:Definite={'Ind'}, node:N:child:Gender={'Com'}, node:N:child:Number={'Sing'}, node:N:child:PronType={'Art'}, node:N:child:upos={'DET'}, node:N:child:rel_shallow={'det'}, node:CLH:own:Mood=Ind, node:CLH:own:Tense=Pres, node:CLH:own:VerbForm=Fin, node:CLH:own:Voice=Act, node:CLH:own:upos=VERB, node:CLH:own:rel_shallow=root</t>
  </si>
  <si>
    <t>sent_id: 1900_1950_172_sec1033 | rules: sentence:meta:period=1900_1950, node:X:own:Voice=Act, node:X:child:Case={'Nom', 'Acc'}, node:X:child:Definite={'Ind', 'Def'}, node:X:child:Gender={'Com'}, node:X:child:Number={'Sing'}, node:X:child:PronType={'Prs'}, node:N:own:Case=Nom, node:N:own:Definite=Ind, node:N:own:Gender=Neut, node:N:own:Number=Sing, node:N:child:Case={'Nom', 'Gen'}, node:N:child:Degree={'Cmp'}, node:N:child:upos={'ADJ', 'NOUN'}, node:N:child:rel_shallow={'nmod:poss', 'amod'}, node:N:child:Definite={'Ind'}, node:N:child:Gender={'Neut'}, node:N:child:Number={'Plur'}, node:CLH:own:VerbForm=Sup, node:CLH:own:Voice=Act, node:CLH:own:upos=VERB, node:CLH:own:rel_shallow=root</t>
  </si>
  <si>
    <t>sent_id: 1900_1950_270_sec1033 | rules: sentence:meta:period=1900_1950, node:X:own:Voice=Act, node:X:child:Case={'Nom'}, node:X:child:Definite={'Ind'}, node:X:child:Gender={'Com'}, node:X:child:Number={'Sing'}, node:N:own:Case=Nom, node:N:own:Definite=Def, node:N:own:Gender=Com, node:N:own:Number=Sing, node:N:child:Case={'Nom'}, node:N:child:Definite={'Ind', 'Def'}, node:N:child:Gender={'Com'}, node:N:child:Number={'Sing', 'Plur'}, node:N:child:upos={'ADJ', 'DET', 'NOUN'}, node:N:child:rel_shallow={'nmod', 'det', 'amod'}, node:N:child:Degree={'Pos'}, node:N:child:PronType={'Art'}, node:CLH:own:VerbForm=Inf, node:CLH:own:Voice=Act, node:CLH:own:upos=VERB, node:CLH:own:rel_shallow=root</t>
  </si>
  <si>
    <t>sent_id: 1900_1950_952_sec1033 | rules: sentence:meta:period=1900_1950, node:X:own:Voice=Act, node:X:child:Case={'Nom', 'Acc'}, node:X:child:Definite={'Ind', 'Def'}, node:X:child:Gender={'Com', 'Neut'}, node:X:child:Number={'Sing'}, node:X:child:PronType={'Prs'}, node:N:own:Definite=Def, node:N:own:Gender=Neut, node:N:own:Number=Sing, node:N:own:PronType=Prs, node:N:own:has_child=No, node:CLH:own:Mood=Ind, node:CLH:own:Tense=Pres, node:CLH:own:VerbForm=Fin, node:CLH:own:Voice=Act, node:CLH:own:upos=VERB, node:CLH:own:rel_shallow=root</t>
  </si>
  <si>
    <t>sent_id: 1900_1950_952_sec1033 | rules: sentence:meta:period=1900_1950, node:X:own:Voice=Act, node:X:child:Case={'Nom', 'Acc'}, node:X:child:Definite={'Ind', 'Def'}, node:X:child:Gender={'Com', 'Neut'}, node:X:child:Number={'Sing'}, node:X:child:PronType={'Prs'},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node:CLH:own:rel_shallow=root</t>
  </si>
  <si>
    <t>sent_id: 1900_1950_1264_sec1033 | rules: sentence:meta:period=1900_1950, node:X:own:Voice=Act, node:X:child:Degree={'Pos'}, node:N:own:Case=Nom, node:N:own:Definite=Def, node:N:own:Gender=Com, node:N:own:Number=Plur, node:N:own:PronType=Prs, node:N:own:has_child=No, node:CLH:own:VerbForm=Inf, node:CLH:own:Voice=Act, node:CLH:own:upos=VERB, node:CLH:own:rel_shallow=root</t>
  </si>
  <si>
    <t>sent_id: 1900_1950_1361_sec1033 | rules: sentence:meta:period=1900_1950, node:X:own:Voice=Act, node:N:own:Case=Nom, node:N:own:Definite=Ind, node:N:own:Gender=Com, node:N:own:Number=Sing, node:N:child:Definite={'Def'}, node:N:child:Gender={'Com'}, node:N:child:Number={'Sing'}, node:N:child:Poss={'Yes'}, node:N:child:PronType={'Prs'}, node:N:child:upos={'PRON'}, node:N:child:rel_shallow={'nmod:poss'}, node:CLH:own:VerbForm=Inf, node:CLH:own:Voice=Act, node:CLH:own:upos=VERB, node:CLH:own:rel_shallow=advcl</t>
  </si>
  <si>
    <t>sent_id: 1900_1950_1554_sec1033 | rules: sentence:meta:period=1900_1950, node:X:own:Voice=Act, node:X:child:Case={'Nom'}, node:X:child:Definite={'Ind', 'Def'}, node:X:child:Gender={'Com', 'Neut'}, node:X:child:Number={'Sing', 'Plur'},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node:CLH:own:rel_shallow=conj</t>
  </si>
  <si>
    <t>sent_id: 1900_1950_1566_sec1033 | rules: sentence:meta:period=1900_1950, node:X:own:Voice=Act, node:X:child:Case={'Nom'}, node:X:child:Definite={'Ind'}, node:X:child:Gender={'Com'}, node:X:child:Number={'Plur'}, node:N:own:Case=Nom, node:N:child:Case={'Nom'}, node:N:child:upos={'NOUN', 'PROPN'}, node:N:child:rel_shallow={'nmod', 'flat:name'}, node:N:child:Abbr={'Yes'}, node:CLH:own:Mood=Ind, node:CLH:own:Tense=Past, node:CLH:own:VerbForm=Fin, node:CLH:own:Voice=Act, node:CLH:own:upos=VERB, node:CLH:own:rel_shallow=root</t>
  </si>
  <si>
    <t>sent_id: 1900_1950_753_sec397 | rules: sentence:meta:period=1900_1950, node:X:own:Voice=Act, node:X:child:Case={'Nom'}, node:X:child:Definite={'Def'}, node:X:child:Gender={'Com'}, node:X:child:Number={'Plur'}, node:N:own:Case=Nom, node:N:own:Definite=Def, node:N:own:Gender=Com, node:N:own:Number=Sing, node:N:child:Case={'Nom'}, node:N:child:Definite={'Def'}, node:N:child:Degree={'Pos'}, node:N:child:Gender={'Com'}, node:N:child:Number={'Sing'}, node:N:child:upos={'ADJ', 'DET'}, node:N:child:rel_shallow={'det', 'amod'}, node:N:child:PronType={'Art'}, node:CLH:own:Mood=Ind, node:CLH:own:Tense=Past, node:CLH:own:VerbForm=Fin, node:CLH:own:Voice=Act, node:CLH:own:upos=VERB, node:CLH:own:rel_shallow=root</t>
  </si>
  <si>
    <t>sent_id: 1900_1950_57_sec609 | rules: sentence:meta:period=1900_1950, node:X:own:Voice=Act, node:X:child:Definite={'Def'}, node:X:child:Number={'Plur'}, node:X:child:PronType={'Prs'}, node:N:own:has_child=No, node:CLH:own:Case=Nom, node:CLH:own:Definite=Ind, node:CLH:own:Gender=Neut, node:CLH:own:Number=Sing, node:CLH:own:upos=NOUN, node:CLH:own:rel_shallow=obl</t>
  </si>
  <si>
    <t>sent_id: 1900_1950_123_sec609 | rules: sentence:meta:period=1900_1950, node:X:own:Voice=Act, node:X:child:Case={'Nom'}, node:X:child:Definite={'Ind'}, node:X:child:Gender={'Com', 'Neut'}, node:X:child:Number={'Sing', 'Plur'}, node:N:own:Case=Nom, node:N:own:Definite=Def, node:N:own:Gender=Com, node:N:own:Number=Sing, node:N:own:PronType=Prs, node:N:own:has_child=No, node:CLH:own:VerbForm=Inf, node:CLH:own:Voice=Act, node:CLH:own:upos=VERB, node:CLH:own:rel_shallow=root</t>
  </si>
  <si>
    <t>sent_id: 1900_1950_141_sec609 | rules: sentence:meta:period=1900_1950, node:X:own:Voice=Act, node:X:child:Case={'Nom'}, node:X:child:Definite={'Ind', 'Def'}, node:X:child:Gender={'Com', 'Neut'}, node:X:child:Number={'Sing'}, node:N:own:Case=Nom, node:N:own:Definite=Def, node:N:own:Gender=Com, node:N:own:Number=Sing, node:N:own:has_child=No, node:CLH:own:VerbForm=Inf, node:CLH:own:Voice=Act, node:CLH:own:upos=VERB, node:CLH:own:rel_shallow=root</t>
  </si>
  <si>
    <t>sent_id: 1900_1950_190_sec609 | rules: sentence:meta:period=1900_1950, node:X:own:Voice=Act, node:N:own:Case=Nom, node:N:own:has_child=No, node:CLH:own:Mood=Ind, node:CLH:own:Tense=Past, node:CLH:own:VerbForm=Fin, node:CLH:own:Voice=Act, node:CLH:own:upos=VERB, node:CLH:own:rel_shallow=root</t>
  </si>
  <si>
    <t>sent_id: 1900_1950_280_sec609 | rules: sentence:meta:period=1900_1950, node:X:own:Voice=Act, node:N:own:Case=Nom, node:N:own:Definite=Def, node:N:own:Gender=Com, node:N:own:Number=Sing, node:N:own:PronType=Prs, node:N:own:has_child=No, node:CLH:own:Mood=Imp, node:CLH:own:VerbForm=Fin, node:CLH:own:Voice=Act, node:CLH:own:upos=VERB, node:CLH:own:rel_shallow=root</t>
  </si>
  <si>
    <t>sent_id: 1900_1950_292_sec609 | rules: sentence:meta:period=1900_1950, node:X:own:Voice=Act, node:X:child:Polarity={'Neg'}, node:N:own:Case=Nom, node:N:own:has_child=No, node:CLH:own:VerbForm=Sup, node:CLH:own:Voice=Act, node:CLH:own:upos=VERB, node:CLH:own:rel_shallow=conj</t>
  </si>
  <si>
    <t>sent_id: 1900_1950_294_sec609 | rules: sentence:meta:period=1900_1950, node:X:own:Voice=Act, node:X:child:Case={'Acc'}, node:X:child:Definite={'Def'}, node:X:child:Gender={'Com'}, node:X:child:Number={'Sing'}, node:X:child:PronType={'Prs'}, node:N:own:Case=Nom, node:N:own:Definite=Def, node:N:own:Gender=Com, node:N:own:Number=Sing, node:N:own:PronType=Prs, node:N:own:has_child=No, node:CLH:own:Case=Nom, node:CLH:own:Definite=Def, node:CLH:own:Gender=Neut, node:CLH:own:Number=Sing, node:CLH:own:upos=NOUN, node:CLH:own:rel_shallow=conj</t>
  </si>
  <si>
    <t>sent_id: 1900_1950_528_sec609 | rules: sentence:meta:period=1900_1950, node:X:own:Voice=Act, node:X:child:Case={'Nom'}, node:X:child:Definite={'Ind', 'Def'}, node:X:child:Gender={'Com'}, node:X:child:Number={'Sing'}, node:N:own:Case=Nom, node:N:own:Definite=Def, node:N:own:Gender=Com, node:N:own:Number=Sing, node:N:own:PronType=Prs, node:N:own:has_child=No, node:CLH:own:upos=ADV, node:CLH:own:rel_shallow=root</t>
  </si>
  <si>
    <t>sent_id: 1900_1950_593_sec609 | rules: sentence:meta:period=1900_1950, node:X:own:Voice=Act, node:X:child:Case={'Nom', 'Acc'}, node:X:child:Definite={'Ind', 'Def'}, node:X:child:Gender={'Com'}, node:X:child:Number={'Sing', 'Plur'}, node:X:child:PronType={'Prs'}, node:N:own:Case=Nom, node:N:own:has_child=No, node:CLH:own:Mood=Ind, node:CLH:own:Tense=Pres, node:CLH:own:VerbForm=Fin, node:CLH:own:Voice=Act, node:CLH:own:upos=VERB, node:CLH:own:rel_shallow=conj</t>
  </si>
  <si>
    <t>sent_id: 1900_1950_658_sec609 | rules: sentence:meta:period=1900_1950, node:X:own:Voice=Act, node:X:child:Case={'Nom', 'Acc'}, node:X:child:Definite={'Ind', 'Def'}, node:X:child:Gender={'Neut'}, node:X:child:Number={'Plur'}, node:X:child:PronType={'Prs'},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node:CLH:own:rel_shallow=root</t>
  </si>
  <si>
    <t>sent_id: 1900_1950_703_sec609 | rules: sentence:meta:period=1900_1950, node:X:own:Voice=Act, node:X:child:Polarity={'Neg'}, node:N:own:Case=Nom, node:N:own:Definite=Def, node:N:own:Gender=Com, node:N:own:Number=Sing, node:N:own:PronType=Prs, node:N:own:has_child=No, node:CLH:own:VerbForm=Inf, node:CLH:own:Voice=Act, node:CLH:own:upos=VERB, node:CLH:own:rel_shallow=parataxis</t>
  </si>
  <si>
    <t>sent_id: 1900_1950_704_sec609 | rules: sentence:meta:period=1900_1950, node:X:own:Voice=Act, node:X:child:Case={'Acc'}, node:X:child:Definite={'Def'}, node:X:child:PronType={'Prs'},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node:CLH:own:rel_shallow=conj</t>
  </si>
  <si>
    <t>sent_id: 1900_1950_769_sec609 | rules: sentence:meta:period=1900_1950, node:X:own:Voice=Act, node:X:child:Case={'Nom'}, node:X:child:Definite={'Ind'}, node:X:child:Gender={'Com'}, node:X:child:Number={'Plur'}, node:N:own:Definite=Ind, node:N:own:Gender=Com, node:N:own:Number=Sing, node:N:own:PronType=Ind, node:N:own:has_child=No, node:CLH:own:VerbForm=Sup, node:CLH:own:Voice=Act, node:CLH:own:upos=VERB, node:CLH:own:rel_shallow=root</t>
  </si>
  <si>
    <t>sent_id: 1900_1950_791_sec609 | rules: sentence:meta:period=1900_1950, node:X:own:Voice=Act, node:X:child:Case={'Nom'}, node:X:child:Definite={'Ind'}, node:X:child:Gender={'Neut'}, node:X:child:Number={'Sing'},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node:CLH:own:rel_shallow=root</t>
  </si>
  <si>
    <t>sent_id: 1900_1950_844_sec609 | rules: sentence:meta:period=1900_1950, node:X:own:Voice=Act, node:N:own:Definite=Ind, node:N:own:Gender=Neut, node:N:own:Number=Sing, node:N:own:PronType=Ind, node:N:own:has_child=No, node:CLH:own:VerbForm=Inf, node:CLH:own:Voice=Act, node:CLH:own:upos=VERB, node:CLH:own:rel_shallow=conj</t>
  </si>
  <si>
    <t>sent_id: 1900_1950_896_sec609 | rules: sentence:meta:period=1900_1950, node:X:own:Voice=Act, node:X:child:Case={'Nom'}, node:X:child:Definite={'Ind', 'Def'}, node:X:child:Degree={'Pos'}, node:X:child:Gender={'Com', 'Neut'}, node:X:child:Number={'Sing'}, node:N:own:Definite=Ind, node:N:own:Gender=Com, node:N:own:Number=Sing, node:N:own:PronType=Ind, node:N:own:has_child=No, node:CLH:own:Mood=Ind, node:CLH:own:Tense=Pres, node:CLH:own:VerbForm=Fin, node:CLH:own:Voice=Act, node:CLH:own:upos=VERB, node:CLH:own:rel_shallow=conj</t>
  </si>
  <si>
    <t>sent_id: 1900_1950_1017_sec609 | rules: sentence:meta:period=1900_1950, node:X:own:Voice=Act, node:X:child:Case={'Nom'}, node:X:child:Definite={'Ind', 'Def'}, node:X:child:Degree={'Pos'}, node:X:child:Gender={'Com'}, node:X:child:Number={'Sing', 'Plur'}, node:N:own:Case=Nom, node:N:own:Definite=Def, node:N:own:Gender=Com, node:N:own:Number=Sing, node:N:own:PronType=Prs, node:N:own:has_child=No, node:CLH:own:Mood=Ind, node:CLH:own:Tense=Past, node:CLH:own:VerbForm=Fin, node:CLH:own:Voice=Pass, node:CLH:own:upos=VERB, node:CLH:own:rel_shallow=root</t>
  </si>
  <si>
    <t>sent_id: 1900_1950_1096_sec609 | rules: sentence:meta:period=1900_1950, node:X:own:Voice=Act, node:X:child:Case={'Nom'}, node:X:child:Definite={'Ind'}, node:X:child:Gender={'Com', 'Neut'}, node:X:child:Number={'Sing', 'Plur'}, node:X:child:Polarity={'Neg'}, node:N:own:Case=Nom, node:N:own:Definite=Def, node:N:own:Gender=Com, node:N:own:Number=Plur, node:N:own:PronType=Prs, node:N:own:has_child=No, node:CLH:own:Mood=Ind, node:CLH:own:Tense=Past, node:CLH:own:VerbForm=Fin, node:CLH:own:Voice=Act, node:CLH:own:upos=VERB, node:CLH:own:rel_shallow=conj</t>
  </si>
  <si>
    <t>sent_id: 1900_1950_1099_sec609 | rules: sentence:meta:period=1900_1950, node:X:own:Voice=Act, node:X:child:Degree={'Pos'}, node:X:child:Case={'Acc'}, node:X:child:Definite={'Def'}, node:X:child:Gender={'Com'}, node:X:child:Number={'Sing'}, node:X:child:PronType={'Prs'}, node:N:own:Case=Nom, node:N:own:Definite=Def, node:N:own:Gender=Com, node:N:own:Number=Sing, node:N:own:has_child=No, node:CLH:own:Mood=Ind, node:CLH:own:Tense=Past, node:CLH:own:VerbForm=Fin, node:CLH:own:Voice=Act, node:CLH:own:upos=VERB, node:CLH:own:rel_shallow=acl:relcl</t>
  </si>
  <si>
    <t>sent_id: 1900_1950_1099_sec609 | rules: sentence:meta:period=1900_1950, node:X:own:Voice=Act, node:X:child:Case={'Nom'}, node:X:child:Definite={'Def'}, node:X:child:Gender={'Neut'}, node:X:child:Number={'Sing'},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node:CLH:own:rel_shallow=conj</t>
  </si>
  <si>
    <t>sent_id: 1900_1950_1158_sec609 | rules: sentence:meta:period=1900_1950, node:X:own:Voice=Act, node:X:child:Case={'Nom', 'Acc'}, node:X:child:Definite={'Ind', 'Def'}, node:X:child:Gender={'Com', 'Neut'}, node:X:child:Number={'Sing', 'Plur'}, node:X:child:PronType={'Prs'}, node:X:child:Polarity={'Neg'}, node:N:own:Case=Nom, node:N:own:Definite=Def, node:N:own:Gender=Com, node:N:own:Number=Sing, node:N:own:PronType=Prs, node:N:own:has_child=No, node:CLH:own:Mood=Imp, node:CLH:own:VerbForm=Fin, node:CLH:own:Voice=Act, node:CLH:own:upos=VERB, node:CLH:own:rel_shallow=root</t>
  </si>
  <si>
    <t>sent_id: 1900_1950_1160_sec609 | rules: sentence:meta:period=1900_1950, node:X:own:Voice=Act, node:X:child:Case={'Nom'}, node:X:child:Definite={'Ind'}, node:X:child:Gender={'Com'}, node:X:child:Number={'Sing'}, node:N:own:Case=Nom, node:N:own:Definite=Def, node:N:own:Gender=Com, node:N:own:Number=Sing, node:N:own:PronType=Prs, node:N:own:has_child=No, node:CLH:own:VerbForm=Inf, node:CLH:own:Voice=Act, node:CLH:own:upos=VERB, node:CLH:own:rel_shallow=root</t>
  </si>
  <si>
    <t>sent_id: 1900_1950_1162_sec609 | rules: sentence:meta:period=1900_1950, node:X:own:Voice=Act, node:X:child:Case={'Nom'}, node:X:child:Definite={'Ind', 'Def'}, node:X:child:Gender={'Com', 'Neut'}, node:X:child:Number={'Sing', 'Plur'}, node:N:own:Case=Nom, node:N:own:Definite=Def, node:N:own:Gender=Com, node:N:own:Number=Sing, node:N:own:PronType=Prs, node:N:own:has_child=No, node:CLH:own:VerbForm=Inf, node:CLH:own:Voice=Act, node:CLH:own:upos=VERB, node:CLH:own:rel_shallow=root</t>
  </si>
  <si>
    <t>sent_id: 1900_1950_1238_sec609 | rules: sentence:meta:period=1900_1950, node:X:own:Voice=Act, node:N:own:Definite=Ind, node:N:own:Gender=Com, node:N:own:Number=Sing, node:N:own:PronType=Prs, node:N:own:has_child=No, node:CLH:own:Mood=Ind, node:CLH:own:Tense=Pres, node:CLH:own:VerbForm=Fin, node:CLH:own:Voice=Act, node:CLH:own:upos=VERB, node:CLH:own:rel_shallow=root</t>
  </si>
  <si>
    <t>sent_id: 1900_1950_1316_sec609 | rules: sentence:meta:period=1900_1950, node:X:own:Voice=Act, node:N:own:Case=Nom, node:N:own:Definite=Def, node:N:own:Gender=Com, node:N:own:Number=Sing, node:N:own:PronType=Prs, node:N:own:has_child=No, node:CLH:own:VerbForm=Inf, node:CLH:own:Voice=Act, node:CLH:own:upos=VERB, node:CLH:own:rel_shallow=xcomp</t>
  </si>
  <si>
    <t>sent_id: 1900_1950_1328_sec609 | rules: sentence:meta:period=1900_1950, node:X:own:Voice=Act, node:X:child:Case={'Nom'}, node:X:child:Definite={'Ind'}, node:X:child:Gender={'Com'}, node:X:child:Number={'Sing'},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node:CLH:own:rel_shallow=ccomp</t>
  </si>
  <si>
    <t>sent_id: 1900_1950_1366_sec609 | rules: sentence:meta:period=1900_1950, node:X:own:Voice=Act, node:X:child:Polarity={'Neg'}, node:N:own:Case=Nom, node:N:own:Definite=Def, node:N:own:Gender=Com, node:N:own:Number=Plur, node:N:own:PronType=Prs, node:N:own:has_child=No, node:CLH:own:Mood=Imp, node:CLH:own:VerbForm=Fin, node:CLH:own:Voice=Act, node:CLH:own:upos=VERB, node:CLH:own:rel_shallow=root</t>
  </si>
  <si>
    <t>sent_id: 1900_1950_1456_sec609 | rules: sentence:meta:period=1900_1950, node:X:own:Voice=Act, node:N:own:Definite=Ind, node:N:own:Gender=Neut, node:N:own:Number=Sing, node:N:own:PronType=Neg, node:N:own:has_child=No, node:CLH:own:Mood=Ind, node:CLH:own:Tense=Pres, node:CLH:own:VerbForm=Fin, node:CLH:own:Voice=Act, node:CLH:own:upos=VERB, node:CLH:own:rel_shallow=parataxis</t>
  </si>
  <si>
    <t>sent_id: 1900_1950_1459_sec609 | rules: sentence:meta:period=1900_1950, node:X:own:Voice=Act, node:X:child:Case={'Nom', 'Acc'}, node:X:child:Definite={'Ind', 'Def'}, node:X:child:Gender={'Com', 'Neut'}, node:X:child:Number={'Sing'}, node:X:child:PronType={'Prs'}, node:N:own:Case=Nom, node:N:own:Definite=Def, node:N:own:Gender=Com, node:N:own:Number=Plur, node:N:own:has_child=No, node:CLH:own:Mood=Ind, node:CLH:own:Tense=Pres, node:CLH:own:VerbForm=Fin, node:CLH:own:Voice=Act, node:CLH:own:upos=VERB, node:CLH:own:rel_shallow=dislocated</t>
  </si>
  <si>
    <t>sent_id: 1900_1950_1482_sec609 | rules: sentence:meta:period=1900_1950, node:X:own:Voice=Act, node:N:own:Case=Nom, node:N:own:Definite=Ind, node:N:own:Gender=Neut, node:N:own:Number=Plur, node:N:own:has_child=No, node:CLH:own:Mood=Ind, node:CLH:own:Tense=Past, node:CLH:own:VerbForm=Fin, node:CLH:own:Voice=Act, node:CLH:own:upos=VERB, node:CLH:own:rel_shallow=root</t>
  </si>
  <si>
    <t>sent_id: 1900_1950_1520_sec609 | rules: sentence:meta:period=1900_1950, node:X:own:Voice=Act, node:X:child:Case={'Nom'}, node:X:child:Definite={'Ind'}, node:X:child:Gender={'Com'}, node:X:child:Number={'Plur'},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node:CLH:own:rel_shallow=root</t>
  </si>
  <si>
    <t>sent_id: 1900_1950_1529_sec609 | rules: sentence:meta:period=1900_1950, node:X:own:Voice=Act, node:X:child:Case={'Nom'}, node:X:child:Definite={'Ind'}, node:X:child:Gender={'Com'}, node:X:child:Number={'Plur'}, node:N:own:Case=Nom, node:N:own:has_child=No, node:CLH:own:Mood=Ind, node:CLH:own:Tense=Past, node:CLH:own:VerbForm=Fin, node:CLH:own:Voice=Act, node:CLH:own:upos=VERB, node:CLH:own:rel_shallow=root</t>
  </si>
  <si>
    <t>sent_id: 1900_1950_1552_sec609 | rules: sentence:meta:period=1900_1950, node:X:own:Voice=Act,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node:CLH:own:rel_shallow=parataxis</t>
  </si>
  <si>
    <t>sent_id: 1900_1950_1553_sec609 | rules: sentence:meta:period=1900_1950, node:X:own:Voice=Act, node:X:child:Definite={'Ind'}, node:X:child:Gender={'Com'}, node:X:child:Number={'Sing'}, node:X:child:PronType={'Ind'}, node:N:own:Case=Nom, node:N:own:Definite=Def, node:N:own:Gender=Com, node:N:own:Number=Sing, node:N:own:PronType=Prs, node:N:own:has_child=No, node:CLH:own:VerbForm=Inf, node:CLH:own:Voice=Act, node:CLH:own:upos=VERB, node:CLH:own:rel_shallow=root</t>
  </si>
  <si>
    <t>sent_id: 1900_1950_1658_sec609 | rules: sentence:meta:period=1900_1950, node:X:own:Voice=Act, node:X:child:Case={'Acc'}, node:X:child:Definite={'Def'}, node:X:child:Gender={'Com'}, node:X:child:Number={'Sing'}, node:X:child:PronType={'Prs'}, node:N:own:Case=Nom, node:N:own:Definite=Ind, node:N:own:Gender=Com, node:N:own:Number=Plur, node:N:child:Case={'Nom'}, node:N:child:Definite={'Ind'}, node:N:child:Degree={'Pos'}, node:N:child:Number={'Sing', 'Plur'}, node:N:child:upos={'ADJ', 'NOUN'}, node:N:child:rel_shallow={'nmod', 'amod'}, node:N:child:Gender={'Neut'}, node:CLH:own:Mood=Ind, node:CLH:own:Tense=Past, node:CLH:own:VerbForm=Fin, node:CLH:own:Voice=Act, node:CLH:own:upos=VERB, node:CLH:own:rel_shallow=root</t>
  </si>
  <si>
    <t>sent_id: 1900_1950_1909_sec609 | rules: sentence:meta:period=1900_1950, node:X:own:Voice=Act,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node:CLH:own:rel_shallow=parataxis</t>
  </si>
  <si>
    <t>sent_id: 1900_1950_2085_sec609 | rules: sentence:meta:period=1900_1950, node:X:own:Voice=Act, node:N:own:Definite=Ind, node:N:own:Gender=Neut, node:N:own:Number=Sing, node:N:own:PronType=Neg, node:N:own:has_child=No, node:CLH:own:Mood=Ind, node:CLH:own:Tense=Pres, node:CLH:own:VerbForm=Fin, node:CLH:own:Voice=Act, node:CLH:own:upos=VERB, node:CLH:own:rel_shallow=root</t>
  </si>
  <si>
    <t>sent_id: 1900_1950_2093_sec609 | rules: sentence:meta:period=1900_1950, node:X:own:Voice=Act, node:N:own:Case=Nom, node:N:own:has_child=No, node:CLH:own:VerbForm=Sup, node:CLH:own:Voice=Act, node:CLH:own:upos=VERB, node:CLH:own:rel_shallow=root</t>
  </si>
  <si>
    <t>sent_id: 1900_1950_2217_sec609 | rules: sentence:meta:period=1900_1950, node:X:own:Voice=Act, node:X:child:Case={'Nom'}, node:X:child:Definite={'Ind', 'Def'}, node:X:child:Degree={'Pos'}, node:X:child:Gender={'Com', 'Neut'}, node:X:child:Number={'Sing', 'Plur'}, node:X:child:PronType={'Rel', 'Prs'}, node:N:own:Case=Nom, node:N:own:Definite=Ind, node:N:own:Gender=Neut, node:N:own:Number=Sing, node:N:child:Case={'Nom'}, node:N:child:Definite={'Def'}, node:N:child:Gender={'Com'}, node:N:child:Number={'Sing'}, node:N:child:upos={'ADJ', 'PRON', 'NOUN'}, node:N:child:rel_shallow={'nmod:poss', 'appos', 'amod'}, node:N:child:Degree={'Pos'}, node:N:child:Poss={'Yes'}, node:N:child:PronType={'Prs'}, node:CLH:own:Mood=Ind, node:CLH:own:Tense=Pres, node:CLH:own:VerbForm=Fin, node:CLH:own:Voice=Act, node:CLH:own:upos=VERB, node:CLH:own:rel_shallow=conj</t>
  </si>
  <si>
    <t>sent_id: 1900_1950_2217_sec609 | rules: sentence:meta:period=1900_1950, node:X:own:Voice=Act, node:X:child:Case={'Nom'}, node:X:child:Definite={'Ind'}, node:X:child:Degree={'Pos'}, node:X:child:Gender={'Com', 'Neut'}, node:X:child:Number={'Sing', 'Plur'}, node:X:child:PronType={'Rel'},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node:CLH:own:rel_shallow=conj</t>
  </si>
  <si>
    <t>sent_id: 1900_1950_2237_sec609 | rules: sentence:meta:period=1900_1950, node:X:own:Voice=Act, node:X:child:Case={'Nom'}, node:X:child:Definite={'Def'}, node:X:child:Gender={'Com'}, node:X:child:Number={'Sing'}, node:N:own:Case=Nom, node:N:own:Definite=Def, node:N:own:Number=Plur, node:N:own:PronType=Prs, node:N:own:has_child=No, node:CLH:own:Mood=Imp, node:CLH:own:VerbForm=Fin, node:CLH:own:Voice=Act, node:CLH:own:upos=VERB, node:CLH:own:rel_shallow=root</t>
  </si>
  <si>
    <t>sent_id: 1900_1950_2238_sec609 | rules: sentence:meta:period=1900_1950, node:X:own:Voice=Act, node:N:own:Case=Nom, node:N:own:Definite=Def, node:N:own:Number=Plur, node:N:own:PronType=Prs, node:N:own:has_child=No, node:CLH:own:Mood=Imp, node:CLH:own:VerbForm=Fin, node:CLH:own:Voice=Act, node:CLH:own:upos=VERB, node:CLH:own:rel_shallow=root</t>
  </si>
  <si>
    <t>sent_id: 1900_1950_2255_sec609 | rules: sentence:meta:period=1900_1950, node:X:own:Voice=Act, node:N:own:Case=Nom, node:N:own:Definite=Ind, node:N:own:Gender=Neut, node:N:own:Number=Sing, node:N:own:has_child=No, node:CLH:own:Mood=Ind, node:CLH:own:Tense=Past, node:CLH:own:VerbForm=Fin, node:CLH:own:Voice=Act, node:CLH:own:upos=VERB, node:CLH:own:rel_shallow=advcl</t>
  </si>
  <si>
    <t>sent_id: 1900_1950_2294_sec609 | rules: sentence:meta:period=1900_1950, node:X:own:Voice=Act, node:X:child:Case={'Nom'}, node:X:child:Definite={'Ind', 'Def'}, node:X:child:Gender={'Com'}, node:X:child:Number={'Sing'}, node:N:own:Case=Nom, node:N:own:has_child=No, node:CLH:own:Mood=Ind, node:CLH:own:Tense=Past, node:CLH:own:VerbForm=Fin, node:CLH:own:Voice=Act, node:CLH:own:upos=VERB, node:CLH:own:rel_shallow=conj</t>
  </si>
  <si>
    <t>sent_id: 1900_1950_2357_sec609 | rules: sentence:meta:period=1900_1950, node:X:own:Voice=Act, node:X:child:Case={'Nom'}, node:X:child:Definite={'Ind'}, node:X:child:Gender={'Com'}, node:X:child:Number={'Sing'},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node:CLH:own:rel_shallow=conj</t>
  </si>
  <si>
    <t>sent_id: 1900_1950_2557_sec609 | rules: sentence:meta:period=1900_1950, node:X:own:Voice=Act, node:X:child:Case={'Acc'}, node:X:child:Definite={'Def'}, node:X:child:PronType={'Prs'}, node:N:own:Case=Nom, node:N:own:has_child=No, node:CLH:own:Case=Nom, node:CLH:own:Definite=Def, node:CLH:own:Gender=Neut, node:CLH:own:Number=Sing, node:CLH:own:upos=NOUN, node:CLH:own:rel_shallow=root</t>
  </si>
  <si>
    <t>sent_id: 1900_1950_58_sec613 | rules: sentence:meta:period=1900_1950, node:X:own:Voice=Act, node:X:child:Case={'Nom'}, node:X:child:Definite={'Ind'}, node:X:child:Gender={'Neut'}, node:X:child:Number={'Sing'},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node:CLH:own:rel_shallow=root</t>
  </si>
  <si>
    <t>sent_id: 1900_1950_127_sec613 | rules: sentence:meta:period=1900_1950, node:X:own:Voice=Act, node:X:child:Case={'Nom'}, node:X:child:Definite={'Ind'}, node:X:child:Gender={'Com'}, node:X:child:Number={'Plur'}, node:X:child:Degree={'Pos'}, node:N:own:Case=Nom, node:N:own:Definite=Def, node:N:own:Gender=Com, node:N:own:Number=Plur, node:N:own:PronType=Prs, node:N:own:has_child=No, node:CLH:own:Mood=Ind, node:CLH:own:Tense=Past, node:CLH:own:VerbForm=Fin, node:CLH:own:Voice=Act, node:CLH:own:upos=VERB, node:CLH:own:rel_shallow=root</t>
  </si>
  <si>
    <t>sent_id: 1900_1950_180_sec613 | rules: sentence:meta:period=1900_1950, node:X:own:Voice=Act, node:X:child:Degree={'Pos'}, node:X:child:Case={'Nom'}, node:X:child:Definite={'Ind'}, node:X:child:Gender={'Neut'}, node:X:child:Number={'Sing'}, node:N:own:Case=Nom, node:N:own:Definite=Def, node:N:own:Gender=Com, node:N:own:Number=Sing, node:N:own:PronType=Prs, node:N:own:has_child=No, node:CLH:own:VerbForm=Sup, node:CLH:own:Voice=Act, node:CLH:own:upos=VERB, node:CLH:own:rel_shallow=root</t>
  </si>
  <si>
    <t>sent_id: 1900_1950_596_sec613 | rules: sentence:meta:period=1900_1950, node:X:own:Voice=Act, node:X:child:Case={'Nom'}, node:X:child:Definite={'Ind', 'Def'}, node:X:child:Gender={'Neut'}, node:X:child:Number={'Sing', 'Plur'}, node:X:child:PronType={'Prs'}, node:X:child:Polarity={'Neg'}, node:N:own:Case=Nom, node:N:own:Definite=Def, node:N:own:Gender=Com, node:N:own:Number=Sing, node:N:own:PronType=Prs, node:N:own:has_child=No, node:CLH:own:Case=Nom, node:CLH:own:Definite=Ind, node:CLH:own:Degree=Pos, node:CLH:own:Gender=Neut, node:CLH:own:Number=Sing, node:CLH:own:upos=ADJ, node:CLH:own:rel_shallow=root</t>
  </si>
  <si>
    <t>sent_id: 1900_1950_778_sec613 | rules: sentence:meta:period=1900_1950, node:X:own:Voice=Act, node:X:child:Case={'Nom', 'Acc'}, node:X:child:Definite={'Def'}, node:X:child:Number={'Plur'}, node:X:child:PronType={'Prs'}, node:X:child:Degree={'Pos'},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node:CLH:own:rel_shallow=parataxis</t>
  </si>
  <si>
    <t>sent_id: 1900_1950_826_sec613 | rules: sentence:meta:period=1900_1950, node:X:own:Voice=Act, node:X:child:Case={'Nom'}, node:X:child:Definite={'Ind'}, node:X:child:Gender={'Com'}, node:X:child:Number={'Sing'}, node:N:own:Case=Nom, node:N:own:Definite=Def, node:N:own:Gender=Com, node:N:own:Number=Sing, node:N:own:PronType=Prs, node:N:own:has_child=No, node:CLH:own:VerbForm=Inf, node:CLH:own:Voice=Act, node:CLH:own:upos=VERB, node:CLH:own:rel_shallow=ccomp</t>
  </si>
  <si>
    <t>sent_id: 1900_1950_826_sec613 | rules: sentence:meta:period=1900_1950, node:X:own:Voice=Act, node:X:child:Definite={'Def'}, node:X:child:Gender={'Neut'}, node:X:child:Number={'Sing'}, node:X:child:PronType={'Prs'}, node:X:child:Polarity={'Neg'}, node:N:own:Case=Nom, node:N:own:Definite=Def, node:N:own:Gender=Com, node:N:own:Number=Sing, node:N:own:PronType=Prs, node:N:own:has_child=No, node:CLH:own:VerbForm=Sup, node:CLH:own:Voice=Act, node:CLH:own:upos=VERB, node:CLH:own:rel_shallow=advcl</t>
  </si>
  <si>
    <t>sent_id: 1900_1950_11_sec631 | rules: sentence:meta:period=1900_1950, node:X:own:Voice=Act, node:X:child:Case={'Nom'}, node:X:child:Definite={'Ind', 'Def'}, node:X:child:Gender={'Com', 'Neut'}, node:X:child:Number={'Sing'}, node:X:child:PronType={'Prs'}, node:N:own:Case=Nom, node:N:own:Definite=Def, node:N:own:Number=Plur, node:N:own:PronType=Prs, node:N:own:has_child=No, node:CLH:own:Mood=Ind, node:CLH:own:Tense=Past, node:CLH:own:VerbForm=Fin, node:CLH:own:Voice=Act, node:CLH:own:upos=VERB, node:CLH:own:rel_shallow=root</t>
  </si>
  <si>
    <t>sent_id: 1900_1950_191_sec631 | rules: sentence:meta:period=1900_1950, node:X:own:Voice=Act, node:X:child:Case={'Nom'}, node:X:child:Definite={'Def'}, node:X:child:Gender={'Com', 'Neut'}, node:X:child:Number={'Sing'}, node:X:child:PronType={'Prs'}, node:N:own:Case=Nom, node:N:own:Definite=Ind, node:N:own:Gender=Com, node:N:own:Number=Plur, node:N:child:upos={'ADV'}, node:N:child:rel_shallow={'advmod'}, node:CLH:own:Case=Nom, node:CLH:own:Definite=Ind, node:CLH:own:Degree=Pos, node:CLH:own:Number=Sing, node:CLH:own:Tense=Past, node:CLH:own:VerbForm=Part, node:CLH:own:upos=ADJ, node:CLH:own:rel_shallow=root</t>
  </si>
  <si>
    <t>sent_id: 1900_1950_191_sec631 | rules: sentence:meta:period=1900_1950, node:X:own:Voice=Act, node:X:child:Case={'Nom'}, node:X:child:Definite={'Ind', 'Def'}, node:X:child:Gender={'Com', 'Neut'}, node:X:child:Number={'Sing', 'Plur'}, node:N:own:Case=Nom, node:N:own:Definite=Def, node:N:own:Gender=Com, node:N:own:Number=Sing, node:N:own:PronType=Prs, node:N:own:has_child=No, node:CLH:own:Case=Nom, node:CLH:own:Definite=Ind, node:CLH:own:Degree=Pos, node:CLH:own:Number=Sing, node:CLH:own:Tense=Past, node:CLH:own:VerbForm=Part, node:CLH:own:upos=ADJ, node:CLH:own:rel_shallow=root</t>
  </si>
  <si>
    <t>sent_id: 1900_1950_304_sec631 | rules: sentence:meta:period=1900_1950, node:X:own:Voice=Act, node:X:child:Case={'Nom'}, node:X:child:Definite={'Ind'}, node:X:child:Degree={'Pos'}, node:X:child:Number={'Sing'}, node:N:own:Case=Nom, node:N:own:Definite=Def, node:N:own:Gender=Neut, node:N:own:Number=Sing, node:N:child:Definite={'Def'}, node:N:child:Poss={'Yes'}, node:N:child:PronType={'Prs'}, node:N:child:upos={'PRON'}, node:N:child:rel_shallow={'nmod:poss'}, node:CLH:own:Mood=Ind, node:CLH:own:Tense=Pres, node:CLH:own:VerbForm=Fin, node:CLH:own:Voice=Act, node:CLH:own:upos=VERB, node:CLH:own:rel_shallow=root</t>
  </si>
  <si>
    <t>sent_id: 1900_1950_356_sec631 | rules: sentence:meta:period=1900_1950, node:X:own:Voice=Act, node:X:child:Case={'Nom'}, node:X:child:Definite={'Def'}, node:X:child:Degree={'Sup'},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node:CLH:own:rel_shallow=conj</t>
  </si>
  <si>
    <t>sent_id: 1900_1950_412_sec631 | rules: sentence:meta:period=1900_1950, node:X:own:Voice=Act, node:X:child:Case={'Acc'}, node:X:child:Definite={'Def'}, node:X:child:Gender={'Com'}, node:X:child:Number={'Sing'}, node:X:child:PronType={'Prs'}, node:X:child:Degree={'Pos'}, node:N:own:Case=Nom, node:N:own:Definite=Def, node:N:own:Gender=Com, node:N:own:Number=Sing, node:N:own:PronType=Prs, node:N:own:has_child=No, node:CLH:own:VerbForm=Inf, node:CLH:own:Voice=Act, node:CLH:own:upos=VERB, node:CLH:own:rel_shallow=root</t>
  </si>
  <si>
    <t>sent_id: 1900_1950_423_sec631 | rules: sentence:meta:period=1900_1950, node:X:own:Voice=Act, node:X:child:Case={'Nom'}, node:X:child:Definite={'Ind', 'Def'}, node:X:child:Gender={'Com', 'Neut'}, node:X:child:Number={'Sing'}, node:X:child:Degree={'Pos'}, node:N:own:Case=Nom, node:N:own:Definite=Ind, node:N:own:Gender=Com, node:N:own:Number=Sing, node:N:child:Case={'Nom'}, node:N:child:Definite={'Ind'}, node:N:child:Gender={'Com'}, node:N:child:Number={'Sing'}, node:N:child:upos={'NOUN'}, node:N:child:rel_shallow={'nmod'}, node:CLH:own:Mood=Ind, node:CLH:own:Tense=Pres, node:CLH:own:VerbForm=Fin, node:CLH:own:Voice=Act, node:CLH:own:upos=VERB, node:CLH:own:rel_shallow=parataxis</t>
  </si>
  <si>
    <t>sent_id: 1900_1950_569_sec631 | rules: sentence:meta:period=1900_1950, node:X:own:Voice=Act, node:N:own:Case=Nom, node:N:own:Definite=Def, node:N:own:Number=Plur, node:N:own:PronType=Prs, node:N:own:has_child=No, node:CLH:own:Case=Nom, node:CLH:own:Degree=Cmp, node:CLH:own:upos=ADJ, node:CLH:own:rel_shallow=parataxis</t>
  </si>
  <si>
    <t>sent_id: 1900_1950_105_sec639 | rules: sentence:meta:period=1900_1950, node:X:own:Voice=Act, node:N:own:Definite=Ind, node:N:own:Gender=Neut, node:N:own:Number=Sing, node:N:own:PronType=Ind, node:N:own:has_child=No, node:CLH:own:Mood=Ind, node:CLH:own:Tense=Pres, node:CLH:own:VerbForm=Fin, node:CLH:own:Voice=Act, node:CLH:own:upos=VERB, node:CLH:own:rel_shallow=root</t>
  </si>
  <si>
    <t>sent_id: 1900_1950_109_sec639 | rules: sentence:meta:period=1900_1950, node:X:own:Voice=Act, node:X:child:Case={'Nom'}, node:X:child:Definite={'Ind', 'Def'}, node:X:child:Degree={'Sup'}, node:X:child:Gender={'Com'}, node:X:child:Number={'Sing'}, node:N:own:Case=Nom, node:N:own:Definite=Ind, node:N:own:Gender=Com, node:N:own:Number=Sing, node:N:child:Mood={'Ind'}, node:N:child:Tense={'Past'}, node:N:child:VerbForm={'Fin'}, node:N:child:Voice={'Act'}, node:N:child:upos={'VERB', 'DET', 'ADJ'}, node:N:child:rel_shallow={'det', 'amod', 'acl:relcl'}, node:N:child:Case={'Nom'}, node:N:child:Definite={'Def'}, node:N:child:Degree={'Pos'}, node:N:child:Gender={'Com'}, node:N:child:Number={'Sing'}, node:N:child:PronType={'Art'}, node:CLH:own:Mood=Ind, node:CLH:own:Tense=Pres, node:CLH:own:VerbForm=Fin, node:CLH:own:Voice=Act, node:CLH:own:upos=VERB, node:CLH:own:rel_shallow=root</t>
  </si>
  <si>
    <t>sent_id: 1900_1950_179_sec639 | rules: sentence:meta:period=1900_1950, node:X:own:Voice=Act, node:X:child:Case={'Nom'}, node:X:child:Definite={'Ind', 'Def'}, node:X:child:Gender={'Com', 'Neut'}, node:X:child:Number={'Sing'},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node:CLH:own:rel_shallow=root</t>
  </si>
  <si>
    <t>sent_id: 1900_1950_248_sec639 | rules: sentence:meta:period=1900_1950, node:X:own:Voice=Act, node:X:child:Polarity={'Neg'}, node:N:own:Definite=Ind, node:N:own:Number=Plur, node:N:own:PronType=Ind, node:N:child:Case={'Nom'}, node:N:child:Definite={'Def'}, node:N:child:Gender={'Com'}, node:N:child:Number={'Plur'}, node:N:child:upos={'NOUN'}, node:N:child:rel_shallow={'nmod'}, node:CLH:own:Case=Nom, node:CLH:own:Definite=Def, node:CLH:own:Gender=Com, node:CLH:own:Number=Plur, node:CLH:own:upos=NOUN, node:CLH:own:rel_shallow=obl</t>
  </si>
  <si>
    <t>sent_id: 1900_1950_256_sec639 | rules: sentence:meta:period=1900_1950, node:X:own:Voice=Act, node:N:own:Case=Nom, node:N:own:Definite=Ind, node:N:own:Gender=Com, node:N:own:Number=Plur, node:N:own:has_child=No, node:CLH:own:Mood=Ind, node:CLH:own:Tense=Pres, node:CLH:own:VerbForm=Fin, node:CLH:own:Voice=Act, node:CLH:own:upos=VERB, node:CLH:own:rel_shallow=root</t>
  </si>
  <si>
    <t>sent_id: 1900_1950_499_sec639 | rules: sentence:meta:period=1900_1950, node:X:own:Voice=Act, node:X:child:Case={'Nom'}, node:X:child:Definite={'Ind'}, node:X:child:Gender={'Com'}, node:X:child:Number={'Sing'}, node:N:own:Case=Nom, node:N:own:Definite=Def, node:N:own:Degree=Pos, node:N:own:Number=Sing, node:N:child:Definite={'Def'}, node:N:child:Gender={'Com'}, node:N:child:Number={'Sing'}, node:N:child:PronType={'Art'}, node:N:child:upos={'DET'}, node:N:child:rel_shallow={'det'}, node:CLH:own:VerbForm=Inf, node:CLH:own:Voice=Act, node:CLH:own:upos=VERB, node:CLH:own:rel_shallow=root</t>
  </si>
  <si>
    <t>sent_id: 1850_1899_72_sec1031 | rules: sentence:meta:period=1850_1899, node:X:own:Voice=Act, node:X:child:Definite={'Def'}, node:X:child:Gender={'Neut'}, node:X:child:Number={'Sing'}, node:X:child:PronType={'Dem'},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node:CLH:own:rel_shallow=root</t>
  </si>
  <si>
    <t>sent_id: 1850_1899_159_sec1031 | rules: sentence:meta:period=1850_1899, node:X:own:Voice=Act, node:X:child:Case={'Nom'}, node:X:child:Definite={'Ind'}, node:X:child:Degree={'Pos'}, node:X:child:Gender={'Neut'}, node:X:child:Number={'Sing'}, node:X:child:Polarity={'Neg'},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node:CLH:own:rel_shallow=root</t>
  </si>
  <si>
    <t>sent_id: 1850_1899_272_sec1031 | rules: sentence:meta:period=1850_1899, node:X:own:Voice=Act, node:X:child:Case={'Nom'}, node:X:child:Definite={'Ind'}, node:X:child:Gender={'Neut'}, node:X:child:Number={'Plur'}, node:X:child:NumType={'Card'},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node:CLH:own:rel_shallow=root</t>
  </si>
  <si>
    <t>sent_id: 1850_1899_592_sec1031 | rules: sentence:meta:period=1850_1899, node:X:own:Voice=Act, node:X:child:Definite={'Ind'}, node:X:child:Gender={'Com'}, node:X:child:Number={'Sing'}, node:X:child:PronType={'Int', 'Ind'}, node:N:own:Case=Nom, node:N:own:Definite=Ind, node:N:own:Gender=Com, node:N:own:Number=Sing, node:N:own:has_child=No, node:CLH:own:VerbForm=Sup, node:CLH:own:Voice=Act, node:CLH:own:upos=VERB, node:CLH:own:rel_shallow=root</t>
  </si>
  <si>
    <t>sent_id: 1850_1899_604_sec1031 | rules: sentence:meta:period=1850_1899, node:X:own:Voice=Act, node:X:child:Case={'Nom'}, node:X:child:Definite={'Ind'}, node:X:child:Gender={'Com'}, node:X:child:Number={'Plur'}, node:N:own:Case=Nom, node:N:child:upos={'ADV', 'PROPN'}, node:N:child:rel_shallow={'advmod', 'flat:name'}, node:N:child:Case={'Nom'}, node:CLH:own:VerbForm=Inf, node:CLH:own:Voice=Act, node:CLH:own:upos=VERB, node:CLH:own:rel_shallow=conj</t>
  </si>
  <si>
    <t>sent_id: 1850_1899_723_sec1031 | rules: sentence:meta:period=1850_1899, node:X:own:Voice=Act, node:X:child:Case={'Nom'}, node:X:child:Definite={'Def'}, node:X:child:Gender={'Com'}, node:X:child:Number={'Plur'}, node:X:child:Degree={'Cmp'}, node:N:own:Case=Nom, node:N:own:Definite=Def, node:N:own:Number=Plur, node:N:own:PronType=Prs, node:N:own:has_child=No, node:CLH:own:Case=Nom, node:CLH:own:Definite=Ind, node:CLH:own:Degree=Pos, node:CLH:own:Gender=Neut, node:CLH:own:Number=Sing, node:CLH:own:upos=ADJ, node:CLH:own:rel_shallow=root</t>
  </si>
  <si>
    <t>sent_id: 1850_1899_58_sec1063 | rules: sentence:meta:period=1850_1899, node:X:own:Voice=Act, node:N:own:Case=Nom, node:N:own:Definite=Def, node:N:own:Gender=Com, node:N:own:Number=Plur, node:N:own:PronType=Prs, node:N:own:has_child=No, node:CLH:own:Case=Nom, node:CLH:own:Definite=Ind, node:CLH:own:Degree=Pos, node:CLH:own:Number=Sing, node:CLH:own:upos=ADJ, node:CLH:own:rel_shallow=root</t>
  </si>
  <si>
    <t>sent_id: 1850_1899_164_sec1063 | rules: sentence:meta:period=1850_1899, node:X:own:Voice=Act, node:X:child:Case={'Nom'}, node:X:child:Definite={'Ind'}, node:X:child:Gender={'Com'}, node:X:child:Number={'Sing'}, node:N:own:Case=Nom, node:N:child:Case={'Nom'}, node:N:child:Definite={'Ind'}, node:N:child:Gender={'Com'}, node:N:child:Number={'Sing'}, node:N:child:upos={'NOUN'}, node:N:child:rel_shallow={'nmod'}, node:CLH:own:Mood=Ind, node:CLH:own:Tense=Past, node:CLH:own:VerbForm=Fin, node:CLH:own:Voice=Act, node:CLH:own:upos=VERB, node:CLH:own:rel_shallow=root</t>
  </si>
  <si>
    <t>sent_id: 1850_1899_173_sec1063 | rules: sentence:meta:period=1850_1899, node:X:own:Voice=Act, node:X:child:Case={'Nom'}, node:X:child:Definite={'Ind'}, node:X:child:Degree={'Pos'}, node:X:child:Gender={'Neut'}, node:X:child:Number={'Sing'}, node:X:child:Polarity={'Neg'}, node:N:own:Case=Nom, node:N:own:Definite=Def, node:N:own:Gender=Neut, node:N:own:Number=Sing, node:N:own:has_child=No, node:CLH:own:Case=Nom, node:CLH:own:Definite=Ind, node:CLH:own:Degree=Pos, node:CLH:own:Gender=Neut, node:CLH:own:Number=Sing, node:CLH:own:upos=ADJ, node:CLH:own:rel_shallow=root</t>
  </si>
  <si>
    <t>sent_id: 1850_1899_195_sec1063 | rules: sentence:meta:period=1850_1899, node:X:own:Voice=Act, node:X:child:Case={'Nom'}, node:N:own:Case=Nom, node:N:own:Definite=Def, node:N:own:Gender=Com, node:N:own:Number=Sing, node:N:own:PronType=Prs, node:N:child:upos={'ADP'}, node:N:child:rel_shallow={'case'}, node:CLH:own:Mood=Ind, node:CLH:own:Tense=Past, node:CLH:own:VerbForm=Fin, node:CLH:own:Voice=Act, node:CLH:own:upos=VERB, node:CLH:own:rel_shallow=conj</t>
  </si>
  <si>
    <t>sent_id: 1850_1899_226_sec1063 | rules: sentence:meta:period=1850_1899, node:X:own:Voice=Act, node:X:child:Case={'Nom', 'Acc'}, node:X:child:Definite={'Def'}, node:X:child:Gender={'Com'}, node:X:child:Number={'Sing', 'Plur'}, node:X:child:PronType={'Prs'},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node:CLH:own:rel_shallow=root</t>
  </si>
  <si>
    <t>sent_id: 1850_1899_368_sec1063 | rules: sentence:meta:period=1850_1899, node:X:own:Voice=Act, node:N:own:Case=Nom, node:N:own:Definite=Def, node:N:own:Gender=Com, node:N:own:Number=Sing, node:N:own:has_child=No, node:CLH:own:Mood=Ind, node:CLH:own:Tense=Past, node:CLH:own:VerbForm=Fin, node:CLH:own:Voice=Act, node:CLH:own:upos=VERB, node:CLH:own:rel_shallow=root</t>
  </si>
  <si>
    <t>sent_id: 1850_1899_395_sec1063 | rules: sentence:meta:period=1850_1899, node:X:own:Voice=Act, node:X:child:Case={'Nom'}, node:X:child:Definite={'Ind'}, node:X:child:Gender={'Neut'}, node:X:child:Number={'Sing'}, node:X:child:Polarity={'Neg'},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node:CLH:own:rel_shallow=conj</t>
  </si>
  <si>
    <t>sent_id: 1850_1899_409_sec1063 | rules: sentence:meta:period=1850_1899, node:X:own:Voice=Act, node:N:own:Case=Nom, node:N:own:Definite=Def, node:N:own:Gender=Com, node:N:own:Number=Sing, node:N:own:has_child=No, node:CLH:own:Mood=Ind, node:CLH:own:Tense=Past, node:CLH:own:VerbForm=Fin, node:CLH:own:Voice=Act, node:CLH:own:upos=VERB, node:CLH:own:rel_shallow=root</t>
  </si>
  <si>
    <t>sent_id: 1850_1899_640_sec1063 | rules: sentence:meta:period=1850_1899, node:X:own:Voice=Act, node:X:child:Definite={'Ind'}, node:X:child:Gender={'Neut'}, node:X:child:Number={'Sing'}, node:X:child:PronType={'Int'}, node:N:own:PronType=Rel, node:N:own:has_child=No, node:CLH:own:VerbForm=Inf, node:CLH:own:Voice=Act, node:CLH:own:upos=VERB, node:CLH:own:rel_shallow=conj</t>
  </si>
  <si>
    <t>sent_id: 1850_1899_41_sec1102 | rules: sentence:meta:period=1850_1899, node:X:own:Voice=Act,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node:CLH:own:rel_shallow=root</t>
  </si>
  <si>
    <t>sent_id: 1850_1899_53_sec1102 | rules: sentence:meta:period=1850_1899, node:X:own:Voice=Act, node:X:child:Case={'Nom'}, node:X:child:Definite={'Ind'}, node:X:child:Gender={'Neut'}, node:X:child:Number={'Sing'}, node:N:own:Case=Nom, node:N:own:Definite=Ind, node:N:own:Gender=Com, node:N:own:Number=Sing, node:N:child:Definite={'Ind'}, node:N:child:Gender={'Com'}, node:N:child:Number={'Sing'}, node:N:child:PronType={'Art'}, node:N:child:upos={'DET'}, node:N:child:rel_shallow={'det'}, node:CLH:own:Mood=Ind, node:CLH:own:Tense=Past, node:CLH:own:VerbForm=Fin, node:CLH:own:Voice=Act, node:CLH:own:upos=VERB, node:CLH:own:rel_shallow=root</t>
  </si>
  <si>
    <t>sent_id: 1850_1899_193_sec1102 | rules: sentence:meta:period=1850_1899, node:X:own:Voice=Act, node:X:child:Definite={'Def'}, node:X:child:Gender={'Neut'}, node:X:child:Number={'Sing'}, node:X:child:PronType={'Prs'}, node:X:child:Polarity={'Neg'},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node:CLH:own:rel_shallow=conj</t>
  </si>
  <si>
    <t>sent_id: 1850_1899_207_sec1102 | rules: sentence:meta:period=1850_1899, node:X:own:Voice=Act, node:X:child:Definite={'Def'}, node:X:child:Gender={'Neut'}, node:X:child:Number={'Sing'}, node:X:child:PronType={'Dem'}, node:N:own:Case=Nom, node:N:own:Definite=Def, node:N:own:Gender=Com, node:N:own:Number=Sing, node:N:own:has_child=No, node:CLH:own:Mood=Ind, node:CLH:own:Tense=Past, node:CLH:own:VerbForm=Fin, node:CLH:own:Voice=Act, node:CLH:own:upos=VERB, node:CLH:own:rel_shallow=root</t>
  </si>
  <si>
    <t>sent_id: 1850_1899_284_sec1102 | rules: sentence:meta:period=1850_1899, node:X:own:Voice=Act, node:X:child:Polarity={'Neg'}, node:N:own:Case=Nom, node:N:own:Definite=Def, node:N:own:Gender=Com, node:N:own:Number=Plur, node:N:child:Case={'Gen'}, node:N:child:Definite={'Def'}, node:N:child:Gender={'Com'}, node:N:child:Number={'Plur'}, node:N:child:upos={'NOUN'}, node:N:child:rel_shallow={'nmod:poss'}, node:CLH:own:Mood=Ind, node:CLH:own:Tense=Past, node:CLH:own:VerbForm=Fin, node:CLH:own:Voice=Act, node:CLH:own:upos=VERB, node:CLH:own:rel_shallow=conj</t>
  </si>
  <si>
    <t>sent_id: 1850_1899_284_sec1102 | rules: sentence:meta:period=1850_1899, node:X:own:Voice=Act, node:X:child:Case={'Nom'}, node:X:child:Definite={'Def'}, node:X:child:Gender={'Com'}, node:X:child:Number={'Sing'}, node:X:child:Polarity={'Neg'}, node:N:own:Case=Nom, node:N:own:Definite=Def, node:N:own:Gender=Com, node:N:own:Number=Sing, node:N:child:Case={'Gen'}, node:N:child:Definite={'Def'}, node:N:child:Gender={'Com'}, node:N:child:Number={'Sing'}, node:N:child:upos={'NOUN'}, node:N:child:rel_shallow={'nmod:poss'}, node:CLH:own:Mood=Ind, node:CLH:own:Tense=Past, node:CLH:own:VerbForm=Fin, node:CLH:own:Voice=Act, node:CLH:own:upos=VERB, node:CLH:own:rel_shallow=conj</t>
  </si>
  <si>
    <t>sent_id: 1850_1899_374_sec1102 | rules: sentence:meta:period=1850_1899, node:X:own:Voice=Act, node:X:child:Case={'Nom'}, node:X:child:Definite={'Ind'}, node:X:child:Gender={'Com'}, node:X:child:Number={'Plur'}, node:X:child:Polarity={'Neg'}, node:N:own:Case=Nom, node:N:own:Definite=Def, node:N:own:Gender=Com, node:N:own:Number=Sing, node:N:own:PronType=Prs, node:N:own:has_child=No, node:CLH:own:VerbForm=Inf, node:CLH:own:Voice=Act, node:CLH:own:upos=VERB, node:CLH:own:rel_shallow=root</t>
  </si>
  <si>
    <t>sent_id: 1850_1899_427_sec1102 | rules: sentence:meta:period=1850_1899, node:X:own:Voice=Act, node:X:child:Case={'Acc'}, node:X:child:Definite={'Def'}, node:X:child:Gender={'Com'}, node:X:child:Number={'Sing'}, node:X:child:PronType={'Prs'},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node:CLH:own:rel_shallow=root</t>
  </si>
  <si>
    <t>sent_id: 1850_1899_428_sec1102 | rules: sentence:meta:period=1850_1899, node:X:own:Voice=Act, node:X:child:Case={'Acc'}, node:X:child:Definite={'Def'}, node:X:child:Gender={'Com'}, node:X:child:Number={'Sing'}, node:X:child:PronType={'Prs'},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node:CLH:own:rel_shallow=conj</t>
  </si>
  <si>
    <t>sent_id: 1850_1899_438_sec1102 | rules: sentence:meta:period=1850_1899, node:X:own:Voice=Act, node:X:child:Case={'Nom'}, node:X:child:Definite={'Def'}, node:X:child:Gender={'Com'}, node:X:child:Number={'Plur'}, node:X:child:PronType={'Rel'}, node:N:own:Case=Nom, node:N:own:Definite=Ind, node:N:own:Gender=Neut, node:N:own:Number=Sing, node:N:child:Case={'Nom'}, node:N:child:Definite={'Ind'}, node:N:child:Degree={'Pos'}, node:N:child:Gender={'Neut'}, node:N:child:Number={'Sing'}, node:N:child:upos={'ADJ', 'DET'}, node:N:child:rel_shallow={'det', 'amod'}, node:N:child:PronType={'Art'}, node:CLH:own:Case=Nom, node:CLH:own:Definite=Def, node:CLH:own:Gender=Com, node:CLH:own:Number=Sing, node:CLH:own:upos=NOUN, node:CLH:own:rel_shallow=root</t>
  </si>
  <si>
    <t>sent_id: 1850_1899_440_sec1102 | rules: sentence:meta:period=1850_1899, node:X:own:Voice=Act, node:X:child:Case={'Nom'}, node:X:child:Definite={'Ind'}, node:X:child:Gender={'Com'}, node:X:child:Number={'Sing'}, node:N:own:Definite=Def, node:N:own:Gender=Neut, node:N:own:Number=Sing, node:N:own:PronType=Prs, node:N:own:has_child=No, node:CLH:own:Case=Nom, node:CLH:own:Definite=Def, node:CLH:own:Gender=Com, node:CLH:own:Number=Sing, node:CLH:own:upos=NOUN, node:CLH:own:rel_shallow=conj</t>
  </si>
  <si>
    <t>sent_id: 1850_1899_520_sec1102 | rules: sentence:meta:period=1850_1899, node:X:own:Voice=Act, node:X:child:Case={'Nom'}, node:X:child:Definite={'Ind'}, node:X:child:Gender={'Neut'}, node:X:child:Number={'Sing'}, node:X:child:Polarity={'Neg'}, node:N:own:Case=Nom, node:N:own:Definite=Def, node:N:own:Gender=Com, node:N:own:Number=Sing, node:N:own:PronType=Prs, node:N:own:has_child=No, node:CLH:own:VerbForm=Sup, node:CLH:own:Voice=Act, node:CLH:own:upos=VERB, node:CLH:own:rel_shallow=conj</t>
  </si>
  <si>
    <t>sent_id: 1850_1899_538_sec1102 | rules: sentence:meta:period=1850_1899, node:X:own:Voice=Act, node:X:child:Case={'Nom'}, node:X:child:Definite={'Ind'}, node:X:child:Degree={'Pos'}, node:X:child:Gender={'Com', 'Neut'}, node:X:child:Number={'Sing'}, node:N:own:Case=Nom, node:N:own:Definite=Def, node:N:own:Gender=Com, node:N:own:Number=Sing, node:N:own:PronType=Prs, node:N:own:has_child=No, node:CLH:own:VerbForm=Sup, node:CLH:own:Voice=Act, node:CLH:own:upos=VERB, node:CLH:own:rel_shallow=root</t>
  </si>
  <si>
    <t>sent_id: 1850_1899_539_sec1102 | rules: sentence:meta:period=1850_1899, node:X:own:Voice=Act, node:N:own:Case=Nom, node:N:own:Definite=Def, node:N:own:Gender=Com, node:N:own:Number=Sing, node:N:own:has_child=No, node:CLH:own:Mood=Ind, node:CLH:own:Tense=Past, node:CLH:own:VerbForm=Fin, node:CLH:own:Voice=Act, node:CLH:own:upos=VERB, node:CLH:own:rel_shallow=advcl</t>
  </si>
  <si>
    <t>sent_id: 1850_1899_576_sec1102 | rules: sentence:meta:period=1850_1899, node:X:own:Voice=Act, node:X:child:Case={'Nom'}, node:X:child:Definite={'Def'}, node:X:child:Gender={'Com'}, node:X:child:Number={'Plur'}, node:N:own:Case=Nom, node:N:own:has_child=No, node:CLH:own:Case=Nom, node:CLH:own:Definite=Ind, node:CLH:own:Gender=Com, node:CLH:own:Number=Sing, node:CLH:own:upos=NOUN, node:CLH:own:rel_shallow=obl</t>
  </si>
  <si>
    <t>sent_id: 1850_1899_644_sec1102 | rules: sentence:meta:period=1850_1899, node:X:own:Voice=Act, node:X:child:Case={'Nom'}, node:X:child:Definite={'Ind'}, node:X:child:Degree={'Pos'}, node:X:child:Number={'Sing'}, node:N:own:Case=Nom, node:N:child:Case={'Nom'}, node:N:child:Definite={'Ind'}, node:N:child:Gender={'Com'}, node:N:child:Number={'Sing'}, node:N:child:upos={'NOUN', 'SCONJ'}, node:N:child:rel_shallow={'conj', 'mark'}, node:CLH:own:Case=Nom, node:CLH:own:Definite=Ind, node:CLH:own:Gender=Com, node:CLH:own:Number=Sing, node:CLH:own:Tense=Past, node:CLH:own:VerbForm=Part, node:CLH:own:Voice=Pass, node:CLH:own:upos=VERB, node:CLH:own:rel_shallow=conj</t>
  </si>
  <si>
    <t>sent_id: 1850_1899_675_sec1102 | rules: sentence:meta:period=1850_1899, node:X:own:Voice=Act, node:X:child:Case={'Nom'}, node:X:child:Definite={'Ind'}, node:X:child:Gender={'Neut'}, node:X:child:Number={'Sing'}, node:N:own:Case=Nom, node:N:own:Definite=Def, node:N:own:Gender=Com, node:N:own:Number=Sing, node:N:own:has_child=No, node:CLH:own:Mood=Ind, node:CLH:own:Tense=Past, node:CLH:own:VerbForm=Fin, node:CLH:own:Voice=Act, node:CLH:own:upos=VERB, node:CLH:own:rel_shallow=root</t>
  </si>
  <si>
    <t>sent_id: 1850_1899_714_sec1102 | rules: sentence:meta:period=1850_1899, node:X:own:Voice=Act, node:X:child:Case={'Nom'}, node:X:child:Definite={'Ind', 'Def'}, node:X:child:Gender={'Com', 'Neut'}, node:X:child:Number={'Sing'},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node:CLH:own:rel_shallow=conj</t>
  </si>
  <si>
    <t>sent_id: 1850_1899_500_sec1108 | rules: sentence:meta:period=1850_1899, node:X:own:Voice=Act, node:N:own:Case=Nom, node:N:own:Definite=Def, node:N:own:Gender=Com, node:N:own:Number=Sing, node:N:own:PronType=Prs, node:N:own:has_child=No, node:CLH:own:VerbForm=Inf, node:CLH:own:Voice=Act, node:CLH:own:upos=VERB, node:CLH:own:rel_shallow=conj</t>
  </si>
  <si>
    <t>sent_id: 1850_1899_86_sec208 | rules: sentence:meta:period=1850_1899, node:X:own:Voice=Act, node:X:child:Case={'Nom'}, node:X:child:Definite={'Def'}, node:X:child:Degree={'Pos'}, node:X:child:Number={'Sing'}, node:X:child:Gender={'Com'}, node:N:own:Case=Nom, node:N:own:Definite=Def, node:N:own:Gender=Com, node:N:own:Number=Sing, node:N:own:PronType=Prs, node:N:own:has_child=No, node:CLH:own:VerbForm=Inf, node:CLH:own:Voice=Act, node:CLH:own:upos=VERB, node:CLH:own:rel_shallow=xcomp</t>
  </si>
  <si>
    <t>sent_id: 1850_1899_118_sec208 | rules: sentence:meta:period=1850_1899, node:X:own:Voice=Act, node:N:own:Case=Nom, node:N:own:Definite=Ind, node:N:own:Gender=Neut, node:N:own:Number=Sing, node:N:own:has_child=No, node:CLH:own:Case=Nom, node:CLH:own:Definite=Ind, node:CLH:own:Gender=Neut, node:CLH:own:Number=Sing, node:CLH:own:upos=NOUN, node:CLH:own:rel_shallow=parataxis</t>
  </si>
  <si>
    <t>sent_id: 1850_1899_170_sec208 | rules: sentence:meta:period=1850_1899, node:X:own:Voice=Act, node:X:child:Case={'Nom', 'Acc'}, node:X:child:Definite={'Ind', 'Def'}, node:X:child:Gender={'Com', 'Neut'}, node:X:child:Number={'Sing'}, node:X:child:PronType={'Prs'}, node:N:own:Case=Nom, node:N:own:Definite=Def, node:N:own:Gender=Com, node:N:own:Number=Sing, node:N:own:PronType=Prs, node:N:own:has_child=No, node:CLH:own:Case=Nom, node:CLH:own:Definite=Ind, node:CLH:own:Degree=Pos, node:CLH:own:Gender=Neut, node:CLH:own:Number=Sing, node:CLH:own:Tense=Past, node:CLH:own:VerbForm=Part, node:CLH:own:upos=ADJ, node:CLH:own:rel_shallow=parataxis</t>
  </si>
  <si>
    <t>sent_id: 1850_1899_78_sec306 | rules: sentence:meta:period=1850_1899, node:X:own:Voice=Act, node:X:child:Case={'Nom'}, node:X:child:Definite={'Ind'}, node:X:child:Gender={'Neut'}, node:X:child:Number={'Sing'},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node:CLH:own:rel_shallow=root</t>
  </si>
  <si>
    <t>sent_id: 1850_1899_172_sec306 | rules: sentence:meta:period=1850_1899, node:X:own:Voice=Act, node:X:child:Case={'Nom'}, node:X:child:Definite={'Def'}, node:X:child:Gender={'Com'}, node:X:child:Number={'Plur'}, node:X:child:PronType={'Prs'}, node:N:own:Case=Nom, node:N:own:Definite=Ind, node:N:own:Gender=Com, node:N:own:Number=Sing, node:N:own:has_child=No, node:CLH:own:Mood=Ind, node:CLH:own:Tense=Past, node:CLH:own:VerbForm=Fin, node:CLH:own:Voice=Act, node:CLH:own:upos=VERB, node:CLH:own:rel_shallow=root</t>
  </si>
  <si>
    <t>sent_id: 1850_1899_172_sec306 | rules: sentence:meta:period=1850_1899, node:X:own:Voice=Act, node:X:child:Case={'Nom'}, node:X:child:Definite={'Ind'}, node:X:child:Gender={'Com'}, node:X:child:Number={'Sing'}, node:N:own:Case=Nom, node:N:own:Definite=Def, node:N:own:Gender=Com, node:N:own:Number=Plur, node:N:own:PronType=Prs, node:N:own:has_child=No, node:CLH:own:Mood=Ind, node:CLH:own:Tense=Past, node:CLH:own:VerbForm=Fin, node:CLH:own:Voice=Act, node:CLH:own:upos=VERB, node:CLH:own:rel_shallow=root</t>
  </si>
  <si>
    <t>sent_id: 1850_1899_312_sec306 | rules: sentence:meta:period=1850_1899, node:X:own:Voice=Act, node:X:child:Case={'Nom'}, node:X:child:Definite={'Ind'}, node:X:child:Gender={'Com', 'Neut'}, node:X:child:Number={'Sing'}, node:N:own:Case=Nom, node:N:child:Case={'Nom'}, node:N:child:upos={'ADJ', 'PROPN'}, node:N:child:rel_shallow={'nmod', 'amod'}, node:N:child:Definite={'Def'}, node:N:child:Degree={'Pos'}, node:N:child:Gender={'Com'}, node:N:child:Number={'Sing'}, node:CLH:own:Mood=Ind, node:CLH:own:Tense=Past, node:CLH:own:VerbForm=Fin, node:CLH:own:Voice=Act, node:CLH:own:upos=VERB, node:CLH:own:rel_shallow=root</t>
  </si>
  <si>
    <t>sent_id: 1850_1899_158_sec307 | rules: sentence:meta:period=1850_1899, node:X:own:Voice=Act,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node:CLH:own:rel_shallow=root</t>
  </si>
  <si>
    <t>sent_id: 1850_1899_301_sec307 | rules: sentence:meta:period=1850_1899, node:X:own:Voice=Act, node:X:child:Case={'Nom'}, node:X:child:Definite={'Ind'}, node:X:child:Degree={'Pos'}, node:X:child:Gender={'Com'}, node:X:child:Number={'Sing'}, node:X:child:Foreign={'Yes'}, node:N:own:Case=Nom, node:N:own:Definite=Def, node:N:own:Gender=Com, node:N:own:Number=Sing, node:N:own:has_child=No, node:CLH:own:VerbForm=Inf, node:CLH:own:Voice=Act, node:CLH:own:upos=VERB, node:CLH:own:rel_shallow=root</t>
  </si>
  <si>
    <t>sent_id: 1850_1899_304_sec307 | rules: sentence:meta:period=1850_1899, node:X:own:Voice=Act, node:X:child:Case={'Nom'}, node:X:child:Definite={'Ind'}, node:X:child:Gender={'Com', 'Neut'}, node:X:child:Number={'Sing'}, node:N:own:Definite=Ind, node:N:own:Gender=Com, node:N:own:Number=Sing, node:N:own:PronType=Prs, node:N:own:has_child=No, node:CLH:own:Mood=Ind, node:CLH:own:Tense=Pres, node:CLH:own:VerbForm=Fin, node:CLH:own:Voice=Act, node:CLH:own:upos=VERB, node:CLH:own:rel_shallow=ccomp</t>
  </si>
  <si>
    <t>sent_id: 1850_1899_408_sec339 | rules: sentence:meta:period=1850_1899, node:X:own:Voice=Act, node:N:own:Case=Nom, node:N:own:Definite=Def, node:N:own:Gender=Com, node:N:own:Number=Sing, node:N:own:PronType=Prs, node:N:own:has_child=No, node:CLH:own:Case=Nom, node:CLH:own:Definite=Ind, node:CLH:own:Degree=Pos, node:CLH:own:Gender=Neut, node:CLH:own:Number=Sing, node:CLH:own:upos=ADJ, node:CLH:own:rel_shallow=root</t>
  </si>
  <si>
    <t>sent_id: 1850_1899_457_sec339 | rules: sentence:meta:period=1850_1899, node:X:own:Voice=Act, node:X:child:Case={'Nom'}, node:X:child:Definite={'Ind'}, node:X:child:Degree={'Pos'}, node:X:child:Gender={'Neut'}, node:X:child:Number={'Sing'}, node:X:child:PronType={'Rel'}, node:N:own:Case=Nom, node:N:own:Definite=Def, node:N:own:Gender=Com, node:N:own:Number=Sing, node:N:child:Case={'Acc'}, node:N:child:Definite={'Def'}, node:N:child:Gender={'Com'}, node:N:child:Number={'Sing'}, node:N:child:PronType={'Prs'}, node:N:child:upos={'PRON'}, node:N:child:rel_shallow={'nmod'}, node:CLH:own:Mood=Ind, node:CLH:own:Tense=Past, node:CLH:own:VerbForm=Fin, node:CLH:own:Voice=Act, node:CLH:own:upos=VERB, node:CLH:own:rel_shallow=root</t>
  </si>
  <si>
    <t>sent_id: 1850_1899_458_sec339 | rules: sentence:meta:period=1850_1899, node:X:own:Voice=Act, node:X:child:Case={'Nom'}, node:X:child:Definite={'Def'}, node:X:child:Gender={'Com'}, node:X:child:Number={'Sing'}, node:N:own:Case=Nom, node:N:own:Definite=Def, node:N:own:Gender=Com, node:N:own:Number=Sing, node:N:own:has_child=No, node:CLH:own:VerbForm=Sup, node:CLH:own:Voice=Act, node:CLH:own:upos=VERB, node:CLH:own:rel_shallow=root</t>
  </si>
  <si>
    <t>sent_id: 1850_1899_978_sec339 | rules: sentence:meta:period=1850_1899, node:X:own:Voice=Act, node:X:child:Case={'Nom', 'Acc'}, node:X:child:Definite={'Ind', 'Def'}, node:X:child:Gender={'Com'}, node:X:child:Number={'Sing'}, node:X:child:Degree={'Pos'}, node:X:child:PronType={'Prs'}, node:N:own:Case=Nom, node:N:own:Definite=Def, node:N:own:Gender=Com, node:N:own:Number=Sing, node:N:child:Case={'Nom'}, node:N:child:Degree={'Pos'}, node:N:child:Tense={'Pres'}, node:N:child:VerbForm={'Part'}, node:N:child:upos={'ADJ', 'DET'}, node:N:child:rel_shallow={'det', 'amod'}, node:N:child:Definite={'Def'}, node:N:child:Gender={'Com'}, node:N:child:Number={'Sing'}, node:N:child:PronType={'Art'}, node:CLH:own:Mood=Ind, node:CLH:own:Tense=Pres, node:CLH:own:VerbForm=Fin, node:CLH:own:Voice=Act, node:CLH:own:upos=VERB, node:CLH:own:rel_shallow=acl:cleft</t>
  </si>
  <si>
    <t>sent_id: 1850_1899_1104_sec339 | rules: sentence:meta:period=1850_1899, node:X:own:Voice=Act, node:N:own:Case=Nom, node:N:own:Definite=Def, node:N:own:Gender=Com, node:N:own:Number=Sing, node:N:own:has_child=No, node:CLH:own:Mood=Ind, node:CLH:own:Tense=Past, node:CLH:own:VerbForm=Fin, node:CLH:own:Voice=Act, node:CLH:own:upos=VERB, node:CLH:own:rel_shallow=root</t>
  </si>
  <si>
    <t>sent_id: 1850_1899_1158_sec339 | rules: sentence:meta:period=1850_1899, node:X:own:Voice=Act, node:X:child:Case={'Nom'}, node:X:child:Definite={'Ind'}, node:X:child:Gender={'Com', 'Neut'}, node:X:child:Number={'Sing'},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node:CLH:own:rel_shallow=root</t>
  </si>
  <si>
    <t>sent_id: 1850_1899_1166_sec339 | rules: sentence:meta:period=1850_1899, node:X:own:Voice=Act, node:N:own:Case=Nom, node:N:own:Definite=Def, node:N:own:Number=Plur, node:N:own:PronType=Prs, node:N:own:has_child=No, node:CLH:own:VerbForm=Inf, node:CLH:own:Voice=Act, node:CLH:own:upos=VERB, node:CLH:own:rel_shallow=root</t>
  </si>
  <si>
    <t>sent_id: 1850_1899_151_sec415 | rules: sentence:meta:period=1850_1899, node:X:own:Voice=Act, node:X:child:Case={'Nom', 'Acc', 'Gen'}, node:X:child:Definite={'Ind', 'Def'}, node:X:child:Gender={'Com', 'Neut'}, node:X:child:Number={'Sing', 'Plur'}, node:X:child:PronType={'Prs'}, node:N:own:Definite=Def, node:N:own:Gender=Com, node:N:own:Number=Sing, node:N:own:PronType=Prs, node:N:own:has_child=No, node:CLH:own:VerbForm=Sup, node:CLH:own:Voice=Pass, node:CLH:own:upos=VERB, node:CLH:own:rel_shallow=root</t>
  </si>
  <si>
    <t>sent_id: 1850_1899_51_sec452 | rules: sentence:meta:period=1850_1899, node:X:own:Voice=Act, node:X:child:Case={'Nom'}, node:X:child:Definite={'Ind', 'Def'}, node:X:child:Gender={'Com', 'Neut'}, node:X:child:Number={'Sing'}, node:N:own:Case=Nom, node:N:own:Definite=Def, node:N:own:Gender=Com, node:N:own:Number=Sing, node:N:own:PronType=Prs, node:N:own:has_child=No, node:CLH:own:VerbForm=Inf, node:CLH:own:upos=VERB, node:CLH:own:rel_shallow=xcomp</t>
  </si>
  <si>
    <t>sent_id: 1850_1899_125_sec452 | rules: sentence:meta:period=1850_1899, node:X:own:Voice=Act, node:X:child:Case={'Nom'}, node:X:child:Definite={'Def'}, node:X:child:Gender={'Neut'}, node:X:child:Number={'Sing'}, node:X:child:Degree={'Pos'}, node:N:own:Case=Nom, node:N:own:Definite=Ind, node:N:own:Gender=Com, node:N:own:Number=Sing, node:N:child:Case={'Nom'}, node:N:child:Definite={'Ind'}, node:N:child:Gender={'Com'}, node:N:child:Number={'Sing'}, node:N:child:upos={'DET', 'NOUN'}, node:N:child:rel_shallow={'nmod', 'det'}, node:N:child:PronType={'Art'}, node:CLH:own:Mood=Ind, node:CLH:own:Tense=Past, node:CLH:own:VerbForm=Fin, node:CLH:own:Voice=Act, node:CLH:own:upos=VERB, node:CLH:own:rel_shallow=root</t>
  </si>
  <si>
    <t>sent_id: 1850_1899_127_sec452 | rules: sentence:meta:period=1850_1899, node:X:own:Voice=Act, node:X:child:Case={'Nom'}, node:X:child:Definite={'Def'}, node:X:child:Gender={'Neut'}, node:X:child:Number={'Sing'}, node:N:own:Case=Nom, node:N:own:Definite=Def, node:N:own:Gender=Com, node:N:own:Number=Sing, node:N:own:PronType=Prs, node:N:own:has_child=No, node:CLH:own:Case=Nom, node:CLH:own:Definite=Ind, node:CLH:own:Gender=Com, node:CLH:own:Number=Sing, node:CLH:own:upos=NOUN, node:CLH:own:rel_shallow=obj</t>
  </si>
  <si>
    <t>sent_id: 1850_1899_242_sec452 | rules: sentence:meta:period=1850_1899, node:X:own:Voice=Act, node:X:child:Case={'Acc'}, node:X:child:Definite={'Def'}, node:X:child:Number={'Plur'}, node:X:child:PronType={'Prs'}, node:X:child:Degree={'Pos'},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node:CLH:own:rel_shallow=root</t>
  </si>
  <si>
    <t>sent_id: 1850_1899_249_sec452 | rules: sentence:meta:period=1850_1899, node:X:own:Voice=Act, node:N:own:Case=Nom, node:N:own:Definite=Def, node:N:own:Gender=Com, node:N:own:Number=Plur, node:N:own:PronType=Prs, node:N:own:has_child=No, node:CLH:own:Case=Nom, node:CLH:own:Definite=Ind, node:CLH:own:Gender=Com, node:CLH:own:Number=Sing, node:CLH:own:upos=NOUN, node:CLH:own:rel_shallow=root</t>
  </si>
  <si>
    <t>sent_id: 1850_1899_356_sec452 | rules: sentence:meta:period=1850_1899, node:X:own:Voice=Act, node:X:child:Case={'Nom'}, node:X:child:Degree={'Pos'}, node:N:own:Case=Nom, node:N:own:Definite=Def, node:N:own:Gender=Com, node:N:own:Number=Plur, node:N:own:PronType=Prs, node:N:own:has_child=No, node:CLH:own:Mood=Ind, node:CLH:own:Tense=Pres, node:CLH:own:VerbForm=Fin, node:CLH:own:Voice=Act, node:CLH:own:upos=VERB, node:CLH:own:rel_shallow=advcl</t>
  </si>
  <si>
    <t>sent_id: 1850_1899_583_sec452 | rules: sentence:meta:period=1850_1899, node:X:own:Voice=Act, node:X:child:Case={'Acc'}, node:X:child:Definite={'Def'}, node:X:child:PronType={'Prs'}, node:N:own:Case=Nom, node:N:own:Definite=Ind, node:N:own:Gender=Com, node:N:own:Number=Sing, node:N:child:Case={'Gen'}, node:N:child:upos={'PROPN'}, node:N:child:rel_shallow={'nmod:poss'}, node:CLH:own:upos=ADV, node:CLH:own:rel_shallow=advmod</t>
  </si>
  <si>
    <t>sent_id: 1850_1899_611_sec452 | rules: sentence:meta:period=1850_1899, node:X:own:Voice=Act, node:X:child:Case={'Acc'}, node:X:child:Definite={'Def'}, node:X:child:Gender={'Com'}, node:X:child:Number={'Sing'}, node:X:child:PronType={'Prs'},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node:CLH:own:rel_shallow=conj</t>
  </si>
  <si>
    <t>sent_id: 1850_1899_671_sec452 | rules: sentence:meta:period=1850_1899, node:X:own:Voice=Act, node:N:own:Case=Nom, node:N:own:Definite=Def, node:N:own:Gender=Com, node:N:own:Number=Sing, node:N:own:PronType=Prs, node:N:own:has_child=No, node:CLH:own:Case=Nom, node:CLH:own:Definite=Ind, node:CLH:own:Gender=Com, node:CLH:own:Number=Sing, node:CLH:own:upos=NOUN, node:CLH:own:rel_shallow=obl</t>
  </si>
  <si>
    <t>sent_id: 1850_1899_675_sec452 | rules: sentence:meta:period=1850_1899, node:X:own:Voice=Act, node:X:child:Case={'Nom'}, node:X:child:Definite={'Def'}, node:X:child:Gender={'Com'}, node:X:child:Number={'Sing'}, node:N:own:Case=Nom, node:N:own:has_child=No, node:CLH:own:Mood=Ind, node:CLH:own:Tense=Past, node:CLH:own:VerbForm=Fin, node:CLH:own:Voice=Act, node:CLH:own:upos=VERB, node:CLH:own:rel_shallow=root</t>
  </si>
  <si>
    <t>sent_id: 1850_1899_841_sec452 | rules: sentence:meta:period=1850_1899, node:X:own:Voice=Act, node:X:child:Case={'Nom', 'Acc'}, node:X:child:Definite={'Ind', 'Def'}, node:X:child:Gender={'Com'}, node:X:child:Number={'Sing'}, node:X:child:PronType={'Prs'}, node:N:own:Case=Nom, node:N:own:Definite=Ind, node:N:own:Gender=Com, node:N:own:Number=Sing, node:N:own:PronType=Ind, node:N:own:has_child=No, node:CLH:own:Mood=Ind, node:CLH:own:Tense=Past, node:CLH:own:VerbForm=Fin, node:CLH:own:Voice=Act, node:CLH:own:upos=VERB, node:CLH:own:rel_shallow=conj</t>
  </si>
  <si>
    <t>sent_id: 1850_1899_902_sec452 | rules: sentence:meta:period=1850_1899, node:X:own:Voice=Act, node:X:child:Case={'Nom'}, node:X:child:Definite={'Ind'}, node:X:child:Gender={'Com'}, node:X:child:Number={'Plur'}, node:N:own:Case=Nom, node:N:own:Definite=Ind, node:N:own:Gender=Com, node:N:own:Number=Sing, node:N:child:Case={'Nom'}, node:N:child:Definite={'Ind'}, node:N:child:Gender={'Com'}, node:N:child:Number={'Sing'}, node:N:child:upos={'NOUN'}, node:N:child:rel_shallow={'nmod'}, node:CLH:own:Mood=Ind, node:CLH:own:Tense=Past, node:CLH:own:VerbForm=Fin, node:CLH:own:Voice=Act, node:CLH:own:upos=VERB, node:CLH:own:rel_shallow=root</t>
  </si>
  <si>
    <t>sent_id: 1850_1899_914_sec452 | rules: sentence:meta:period=1850_1899, node:X:own:Voice=Act, node:X:child:Case={'Nom'}, node:X:child:Definite={'Ind'}, node:X:child:Gender={'Neut'}, node:X:child:Number={'Plur'},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node:CLH:own:rel_shallow=root</t>
  </si>
  <si>
    <t>sent_id: 1850_1899_922_sec452 | rules: sentence:meta:period=1850_1899, node:X:own:Voice=Act, node:X:child:Case={'Nom'}, node:X:child:Definite={'Ind', 'Def'}, node:X:child:Gender={'Neut'}, node:X:child:Number={'Sing', 'Plur'},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node:CLH:own:rel_shallow=conj</t>
  </si>
  <si>
    <t>sent_id: 1850_1899_939_sec452 | rules: sentence:meta:period=1850_1899, node:X:own:Voice=Act, node:X:child:Case={'Nom'}, node:X:child:Definite={'Ind'}, node:X:child:Gender={'Neut'}, node:X:child:Number={'Sing'},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node:CLH:own:rel_shallow=root</t>
  </si>
  <si>
    <t>sent_id: 1850_1899_977_sec452 | rules: sentence:meta:period=1850_1899, node:X:own:Voice=Act, node:X:child:Case={'Nom'}, node:X:child:Definite={'Ind', 'Def'}, node:X:child:Degree={'Pos'}, node:X:child:Number={'Sing'}, node:X:child:Gender={'Com'}, node:N:own:Case=Nom, node:N:own:Definite=Def, node:N:own:Gender=Com, node:N:own:Number=Sing, node:N:own:has_child=No, node:CLH:own:Mood=Ind, node:CLH:own:Tense=Past, node:CLH:own:VerbForm=Fin, node:CLH:own:Voice=Act, node:CLH:own:upos=VERB, node:CLH:own:rel_shallow=root</t>
  </si>
  <si>
    <t>sent_id: 1850_1899_1011_sec452 | rules: sentence:meta:period=1850_1899, node:X:own:Voice=Act, node:X:child:Case={'Acc'}, node:X:child:Definite={'Def'}, node:X:child:Gender={'Com'}, node:X:child:Number={'Sing'}, node:X:child:PronType={'Prs'}, node:N:own:Case=Nom, node:N:own:Definite=Def, node:N:own:Gender=Com, node:N:own:Number=Plur, node:N:own:PronType=Prs, node:N:own:has_child=No, node:CLH:own:Case=Nom, node:CLH:own:Definite=Ind, node:CLH:own:Degree=Pos, node:CLH:own:Number=Plur, node:CLH:own:upos=ADJ, node:CLH:own:rel_shallow=root</t>
  </si>
  <si>
    <t>sent_id: 1850_1899_1021_sec452 | rules: sentence:meta:period=1850_1899, node:X:own:Voice=Act, node:X:child:Case={'Nom'}, node:X:child:Definite={'Def'}, node:X:child:Gender={'Com'}, node:X:child:Number={'Sing'}, node:N:own:Case=Nom, node:N:own:Definite=Def, node:N:own:Gender=Com, node:N:own:Number=Sing, node:N:own:PronType=Prs, node:N:child:Case={'Nom'}, node:N:child:Definite={'Ind'}, node:N:child:Degree={'Pos'}, node:N:child:Gender={'Com'}, node:N:child:Number={'Sing'}, node:N:child:upos={'ADJ', 'ADV'}, node:N:child:rel_shallow={'advmod', 'conj'}, node:CLH:own:Mood=Ind, node:CLH:own:Tense=Past, node:CLH:own:VerbForm=Fin, node:CLH:own:Voice=Act, node:CLH:own:upos=VERB, node:CLH:own:rel_shallow=conj</t>
  </si>
  <si>
    <t>sent_id: 1850_1899_1078_sec452 | rules: sentence:meta:period=1850_1899, node:X:own:Voice=Act, node:X:child:Case={'Nom'}, node:X:child:Definite={'Def'}, node:X:child:Gender={'Com'}, node:X:child:Number={'Sing'}, node:N:own:Case=Nom, node:N:own:Definite=Def, node:N:own:Number=Plur, node:N:own:PronType=Prs, node:N:own:has_child=No, node:CLH:own:VerbForm=Inf, node:CLH:own:Voice=Act, node:CLH:own:upos=VERB, node:CLH:own:rel_shallow=root</t>
  </si>
  <si>
    <t>sent_id: 1850_1899_1135_sec452 | rules: sentence:meta:period=1850_1899, node:X:own:Voice=Act, node:X:child:Case={'Nom'}, node:X:child:Definite={'Ind'}, node:X:child:Gender={'Neut'}, node:X:child:Number={'Sing'}, node:N:own:Case=Nom, node:N:own:Definite=Ind, node:N:own:Gender=Neut, node:N:own:Number=Sing, node:N:child:Case={'Nom'}, node:N:child:Definite={'Ind'}, node:N:child:Degree={'Pos'}, node:N:child:Gender={'Neut'}, node:N:child:Number={'Sing'}, node:N:child:upos={'ADJ', 'DET'}, node:N:child:rel_shallow={'det', 'amod'}, node:N:child:PronType={'Art'}, node:CLH:own:Mood=Ind, node:CLH:own:Tense=Past, node:CLH:own:VerbForm=Fin, node:CLH:own:Voice=Act, node:CLH:own:upos=VERB, node:CLH:own:rel_shallow=conj</t>
  </si>
  <si>
    <t>sent_id: 1850_1899_1180_sec452 | rules: sentence:meta:period=1850_1899, node:X:own:Voice=Act, node:X:child:Case={'Acc'}, node:X:child:Definite={'Def'}, node:X:child:Gender={'Com'}, node:X:child:Number={'Sing'}, node:X:child:PronType={'Prs'}, node:X:child:Degree={'Pos'},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node:CLH:own:rel_shallow=root</t>
  </si>
  <si>
    <t>sent_id: 1850_1899_76_sec486 | rules: sentence:meta:period=1850_1899, node:X:own:Voice=Act, node:X:child:Case={'Nom'}, node:X:child:Definite={'Def'}, node:X:child:Gender={'Com'}, node:X:child:Number={'Sing'}, node:N:own:PronType=Rel, node:N:own:has_child=No, node:CLH:own:Mood=Ind, node:CLH:own:Tense=Past, node:CLH:own:VerbForm=Fin, node:CLH:own:Voice=Pass, node:CLH:own:upos=VERB, node:CLH:own:rel_shallow=root</t>
  </si>
  <si>
    <t>sent_id: 1850_1899_76_sec486 | rules: sentence:meta:period=1850_1899, node:X:own:Voice=Act, node:X:child:Case={'Nom'}, node:X:child:Definite={'Def'}, node:X:child:Gender={'Com'}, node:X:child:Number={'Sing'}, node:X:child:PronType={'Rel'}, node:N:own:Case=Nom, node:N:own:Definite=Def, node:N:own:Gender=Com, node:N:own:Number=Sing, node:N:child:Case={'Nom'}, node:N:child:Definite={'Def'}, node:N:child:Degree={'Pos'}, node:N:child:upos={'ADJ', 'DET'}, node:N:child:rel_shallow={'det', 'amod'}, node:N:child:Gender={'Com'}, node:N:child:Number={'Sing'}, node:N:child:PronType={'Art'}, node:CLH:own:Mood=Ind, node:CLH:own:Tense=Past, node:CLH:own:VerbForm=Fin, node:CLH:own:Voice=Pass, node:CLH:own:upos=VERB, node:CLH:own:rel_shallow=root</t>
  </si>
  <si>
    <t>sent_id: 1850_1899_163_sec486 | rules: sentence:meta:period=1850_1899, node:X:own:Voice=Act, node:X:child:Case={'Acc'}, node:X:child:Definite={'Def'}, node:X:child:Gender={'Com'}, node:X:child:Number={'Sing'}, node:X:child:PronType={'Prs'}, node:N:own:Case=Nom, node:N:own:Definite=Ind, node:N:own:Gender=Com, node:N:own:Number=Sing, node:N:own:PronType=Ind, node:N:own:has_child=No, node:CLH:own:Mood=Ind, node:CLH:own:Tense=Past, node:CLH:own:VerbForm=Fin, node:CLH:own:Voice=Act, node:CLH:own:upos=VERB, node:CLH:own:rel_shallow=root</t>
  </si>
  <si>
    <t>sent_id: 1850_1899_222_sec486 | rules: sentence:meta:period=1850_1899, node:X:own:Voice=Act, node:X:child:Definite={'Ind'}, node:X:child:Gender={'Neut'}, node:X:child:Number={'Sing'}, node:X:child:PronType={'Ind'}, node:N:own:Definite=Def, node:N:own:Gender=Com, node:N:own:Number=Sing, node:N:own:PronType=Dem, node:N:own:has_child=No, node:CLH:own:VerbForm=Sup, node:CLH:own:Voice=Act, node:CLH:own:upos=VERB, node:CLH:own:rel_shallow=root</t>
  </si>
  <si>
    <t>sent_id: 1850_1899_230_sec486 | rules: sentence:meta:period=1850_1899, node:X:own:Voice=Act, node:X:child:Case={'Nom'}, node:X:child:Definite={'Def'}, node:X:child:Gender={'Neut'}, node:X:child:Number={'Plur'}, node:N:own:Case=Nom, node:N:own:Definite=Def, node:N:own:Gender=Com, node:N:own:Number=Sing, node:N:own:has_child=No, node:CLH:own:Case=Nom, node:CLH:own:Definite=Ind, node:CLH:own:Gender=Neut, node:CLH:own:Number=Plur, node:CLH:own:upos=NOUN, node:CLH:own:rel_shallow=root</t>
  </si>
  <si>
    <t>sent_id: 1850_1899_241_sec486 | rules: sentence:meta:period=1850_1899, node:X:own:Voice=Act, node:X:child:Case={'Nom', 'Acc'}, node:X:child:Definite={'Ind', 'Def'}, node:X:child:PronType={'Prs'}, node:X:child:Gender={'Com'}, node:X:child:Number={'Sing'}, node:N:own:PronType=Rel, node:N:own:has_child=No, node:CLH:own:Mood=Ind, node:CLH:own:Tense=Past, node:CLH:own:VerbForm=Fin, node:CLH:own:Voice=Act, node:CLH:own:upos=VERB, node:CLH:own:rel_shallow=root</t>
  </si>
  <si>
    <t>sent_id: 1850_1899_261_sec486 | rules: sentence:meta:period=1850_1899, node:X:own:Voice=Act, node:N:own:Case=Nom, node:N:own:Definite=Def, node:N:own:Gender=Com, node:N:own:Number=Sing, node:N:own:PronType=Prs, node:N:own:has_child=No, node:CLH:own:Case=Nom, node:CLH:own:Definite=Def, node:CLH:own:Gender=Neut, node:CLH:own:Number=Sing, node:CLH:own:upos=NOUN, node:CLH:own:rel_shallow=obl</t>
  </si>
  <si>
    <t>sent_id: 1850_1899_283_sec486 | rules: sentence:meta:period=1850_1899, node:X:own:Voice=Act, node:X:child:Case={'Nom'}, node:X:child:Definite={'Ind', 'Def'}, node:X:child:Gender={'Com', 'Neut'}, node:X:child:Number={'Sing'}, node:X:child:PronType={'Prs'}, node:N:own:PronType=Rel, node:N:own:has_child=No, node:CLH:own:Mood=Ind, node:CLH:own:Tense=Past, node:CLH:own:VerbForm=Fin, node:CLH:own:Voice=Act, node:CLH:own:upos=VERB, node:CLH:own:rel_shallow=root</t>
  </si>
  <si>
    <t>sent_id: 1850_1899_283_sec486 | rules: sentence:meta:period=1850_1899, node:X:own:Voice=Act, node:X:child:Case={'Nom'}, node:X:child:Definite={'Ind'}, node:X:child:Gender={'Com', 'Neut'}, node:X:child:Number={'Sing'}, node:X:child:PronType={'Rel'},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node:CLH:own:rel_shallow=root</t>
  </si>
  <si>
    <t>sent_id: 1850_1899_304_sec486 | rules: sentence:meta:period=1850_1899, node:X:own:Voice=Act, node:X:child:Case={'Nom', 'Acc'}, node:X:child:Definite={'Ind', 'Def'}, node:X:child:Gender={'Com'}, node:X:child:Number={'Sing', 'Plur'}, node:X:child:PronType={'Prs'}, node:N:own:Case=Nom, node:N:own:Definite=Def, node:N:own:Gender=Com, node:N:own:Number=Sing, node:N:own:PronType=Prs, node:N:own:has_child=No, node:CLH:own:VerbForm=Sup, node:CLH:own:Voice=Act, node:CLH:own:upos=VERB, node:CLH:own:rel_shallow=advcl</t>
  </si>
  <si>
    <t>sent_id: 1850_1899_304_sec486 | rules: sentence:meta:period=1850_1899, node:X:own:Voice=Act, node:X:child:Case={'Nom', 'Acc'}, node:X:child:Definite={'Ind', 'Def'}, node:X:child:Gender={'Com'}, node:X:child:Number={'Sing'}, node:X:child:PronType={'Prs'}, node:X:child:Polarity={'Neg'}, node:X:child:Degree={'Pos'}, node:N:own:Case=Nom, node:N:own:Definite=Def, node:N:own:Gender=Com, node:N:own:Number=Sing, node:N:own:PronType=Prs, node:N:own:has_child=No, node:CLH:own:VerbForm=Sup, node:CLH:own:Voice=Act, node:CLH:own:upos=VERB, node:CLH:own:rel_shallow=advcl</t>
  </si>
  <si>
    <t>sent_id: 1850_1899_413_sec486 | rules: sentence:meta:period=1850_1899, node:X:own:Voice=Act, node:X:child:Case={'Nom'}, node:X:child:Definite={'Ind', 'Def'}, node:X:child:Gender={'Com'}, node:X:child:Number={'Sing', 'Plur'}, node:X:child:Polarity={'Neg'}, node:N:own:Case=Nom, node:N:own:Definite=Def, node:N:own:Gender=Com, node:N:own:Number=Sing, node:N:own:has_child=No, node:CLH:own:VerbForm=Sup, node:CLH:own:Voice=Act, node:CLH:own:upos=VERB, node:CLH:own:rel_shallow=root</t>
  </si>
  <si>
    <t>sent_id: 1850_1899_504_sec486 | rules: sentence:meta:period=1850_1899, node:X:own:Voice=Act, node:X:child:Case={'Nom'}, node:X:child:Definite={'Ind'}, node:X:child:Gender={'Com'}, node:X:child:Number={'Sing'}, node:N:own:Case=Nom, node:N:own:Definite=Ind, node:N:own:Gender=Com, node:N:own:Number=Plur, node:N:child:Case={'Gen'}, node:N:child:Definite={'Def'}, node:N:child:Gender={'Com'}, node:N:child:Number={'Sing'}, node:N:child:upos={'NOUN'}, node:N:child:rel_shallow={'nmod:poss'}, node:CLH:own:VerbForm=Inf, node:CLH:own:Voice=Act, node:CLH:own:upos=VERB, node:CLH:own:rel_shallow=root</t>
  </si>
  <si>
    <t>sent_id: 1850_1899_4_sec492 | rules: sentence:meta:period=1850_1899, node:X:own:Voice=Act, node:X:child:Case={'Nom'}, node:X:child:Definite={'Ind'}, node:X:child:Gender={'Com'}, node:X:child:Number={'Plur'}, node:N:own:Case=Nom, node:N:own:Definite=Ind, node:N:own:Gender=Com, node:N:own:Number=Sing, node:N:own:PronType=Ind, node:N:own:has_child=No, node:CLH:own:Case=Nom, node:CLH:own:Definite=Ind, node:CLH:own:Degree=Pos, node:CLH:own:Gender=Com, node:CLH:own:Number=Sing, node:CLH:own:upos=ADJ, node:CLH:own:rel_shallow=ccomp</t>
  </si>
  <si>
    <t>sent_id: 1850_1899_191_sec492 | rules: sentence:meta:period=1850_1899, node:X:own:Voice=Act, node:N:own:Case=Nom, node:N:own:Definite=Def, node:N:own:Gender=Com, node:N:own:Number=Sing, node:N:own:PronType=Prs, node:N:own:has_child=No, node:CLH:own:VerbForm=Inf, node:CLH:own:Voice=Act, node:CLH:own:upos=VERB, node:CLH:own:rel_shallow=root</t>
  </si>
  <si>
    <t>sent_id: 1850_1899_424_sec492 | rules: sentence:meta:period=1850_1899, node:X:own:Voice=Act,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node:CLH:own:rel_shallow=conj</t>
  </si>
  <si>
    <t>sent_id: 1850_1899_714_sec492 | rules: sentence:meta:period=1850_1899, node:X:own:Voice=Act, node:X:child:Case={'Acc'}, node:X:child:Definite={'Def'}, node:X:child:Gender={'Com'}, node:X:child:Number={'Sing'}, node:X:child:PronType={'Prs'}, node:X:child:Degree={'Pos'},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node:CLH:own:rel_shallow=root</t>
  </si>
  <si>
    <t>sent_id: 1850_1899_756_sec492 | rules: sentence:meta:period=1850_1899, node:X:own:Voice=Act, node:X:child:Case={'Nom'}, node:X:child:Definite={'Def'}, node:X:child:Gender={'Com'}, node:X:child:Number={'Sing'}, node:X:child:PronType={'Prs'}, node:N:own:Definite=Ind, node:N:own:Gender=Com, node:N:own:Number=Sing, node:N:own:PronType=Rel, node:N:child:Case={'Nom'}, node:N:child:Definite={'Ind'}, node:N:child:Degree={'Pos'}, node:N:child:Gender={'Com'}, node:N:child:Number={'Sing'}, node:N:child:upos={'ADJ'}, node:N:child:rel_shallow={'conj'}, node:CLH:own:Case=Nom, node:CLH:own:Definite=Ind, node:CLH:own:Degree=Pos, node:CLH:own:Gender=Com, node:CLH:own:Number=Sing, node:CLH:own:Tense=Past, node:CLH:own:VerbForm=Part, node:CLH:own:upos=ADJ, node:CLH:own:rel_shallow=root</t>
  </si>
  <si>
    <t>sent_id: 1850_1899_756_sec492 | rules: sentence:meta:period=1850_1899, node:X:own:Voice=Act, node:X:child:Definite={'Ind'}, node:X:child:Gender={'Com'}, node:X:child:Number={'Sing'}, node:X:child:PronType={'Rel'}, node:N:own:Case=Nom, node:N:own:Definite=Def, node:N:own:Gender=Com, node:N:own:Number=Sing, node:N:own:PronType=Prs, node:N:child:Case={'Nom'}, node:N:child:Definite={'Ind'}, node:N:child:Gender={'Com'}, node:N:child:Number={'Sing'}, node:N:child:upos={'NOUN'}, node:N:child:rel_shallow={'conj'}, node:CLH:own:Case=Nom, node:CLH:own:Definite=Ind, node:CLH:own:Degree=Pos, node:CLH:own:Gender=Com, node:CLH:own:Number=Sing, node:CLH:own:Tense=Past, node:CLH:own:VerbForm=Part, node:CLH:own:upos=ADJ, node:CLH:own:rel_shallow=root</t>
  </si>
  <si>
    <t>sent_id: 1850_1899_838_sec492 | rules: sentence:meta:period=1850_1899, node:X:own:Voice=Act, node:X:child:Case={'Nom'}, node:X:child:Definite={'Def'}, node:X:child:Gender={'Com'}, node:X:child:Number={'Sing'}, node:N:own:Case=Nom, node:N:child:Case={'Nom'}, node:N:child:Definite={'Ind'}, node:N:child:Gender={'Com'}, node:N:child:Number={'Sing'}, node:N:child:upos={'NOUN'}, node:N:child:rel_shallow={'nmod'}, node:CLH:own:Mood=Ind, node:CLH:own:Tense=Past, node:CLH:own:VerbForm=Fin, node:CLH:own:Voice=Act, node:CLH:own:upos=VERB, node:CLH:own:rel_shallow=root</t>
  </si>
  <si>
    <t>sent_id: 1850_1899_202_sec885 | rules: sentence:meta:period=1850_1899, node:X:own:Voice=Act, node:X:child:Case={'Acc'}, node:X:child:Definite={'Def'}, node:X:child:Gender={'Com'}, node:X:child:Number={'Sing'}, node:X:child:PronType={'Prs'}, node:N:own:Case=Nom, node:N:own:Definite=Ind, node:N:own:Gender=Com, node:N:own:Number=Sing, node:N:child:Case={'Gen'}, node:N:child:Definite={'Def'}, node:N:child:Gender={'Com'}, node:N:child:Number={'Sing'}, node:N:child:upos={'NOUN'}, node:N:child:rel_shallow={'nmod:poss'}, node:CLH:own:Mood=Ind, node:CLH:own:Tense=Past, node:CLH:own:VerbForm=Fin, node:CLH:own:Voice=Pass, node:CLH:own:upos=VERB, node:CLH:own:rel_shallow=root</t>
  </si>
  <si>
    <t>sent_id: 1850_1899_251_sec885 | rules: sentence:meta:period=1850_1899, node:X:own:Voice=Act, node:N:own:Case=Nom, node:N:own:Definite=Ind, node:N:own:Gender=Com, node:N:own:Number=Sing, node:N:child:Definite={'Ind'}, node:N:child:Number={'Sing'}, node:N:child:PronType={'Tot'}, node:N:child:upos={'DET'}, node:N:child:rel_shallow={'det'}, node:CLH:own:VerbForm=Sup, node:CLH:own:Voice=Act, node:CLH:own:upos=VERB, node:CLH:own:rel_shallow=advcl</t>
  </si>
  <si>
    <t>sent_id: 1850_1899_328_sec885 | rules: sentence:meta:period=1850_1899, node:X:own:Voice=Act, node:N:own:Case=Nom, node:N:own:Definite=Def, node:N:own:Gender=Com, node:N:own:Number=Sing, node:N:child:Case={'Nom'}, node:N:child:Definite={'Def'}, node:N:child:Degree={'Sup'}, node:N:child:upos={'ADJ', 'DET'}, node:N:child:rel_shallow={'det', 'amod'}, node:N:child:Gender={'Com'}, node:N:child:Number={'Sing'}, node:N:child:PronType={'Art'}, node:CLH:own:Mood=Ind, node:CLH:own:Tense=Past, node:CLH:own:VerbForm=Fin, node:CLH:own:Voice=Act, node:CLH:own:upos=VERB, node:CLH:own:rel_shallow=acl:relcl</t>
  </si>
  <si>
    <t>sent_id: 1850_1899_380_sec885 | rules: sentence:meta:period=1850_1899, node:X:own:Voice=Act, node:X:child:Case={'Nom', 'Acc'}, node:X:child:Definite={'Ind', 'Def'}, node:X:child:Gender={'Com'}, node:X:child:Number={'Sing', 'Plur'}, node:X:child:PronType={'Prs'}, node:N:own:Case=Nom, node:N:own:has_child=No, node:CLH:own:Case=Nom, node:CLH:own:Definite=Ind, node:CLH:own:Degree=Pos, node:CLH:own:Gender=Neut, node:CLH:own:Number=Sing, node:CLH:own:upos=ADJ, node:CLH:own:rel_shallow=root</t>
  </si>
  <si>
    <t>sent_id: 1850_1899_380_sec885 | rules: sentence:meta:period=1850_1899, node:X:own:Voice=Act, node:X:child:Case={'Nom', 'Acc'}, node:X:child:Definite={'Ind', 'Def'}, node:X:child:Gender={'Com'}, node:X:child:Number={'Sing', 'Plur'}, node:X:child:PronType={'Prs'}, node:N:own:Case=Nom, node:N:own:Definite=Def, node:N:own:Gender=Com, node:N:own:Number=Sing, node:N:own:PronType=Prs, node:N:own:has_child=No, node:CLH:own:Case=Nom, node:CLH:own:Definite=Ind, node:CLH:own:Degree=Pos, node:CLH:own:Gender=Neut, node:CLH:own:Number=Sing, node:CLH:own:upos=ADJ, node:CLH:own:rel_shallow=root</t>
  </si>
  <si>
    <t>sent_id: 1850_1899_499_sec885 | rules: sentence:meta:period=1850_1899, node:X:own:Voice=Act, node:X:child:Case={'Nom'}, node:X:child:Definite={'Ind', 'Def'}, node:X:child:Gender={'Com', 'Neut'}, node:X:child:Number={'Sing'}, node:X:child:PronType={'Int', 'Prs'}, node:N:own:Case=Nom, node:N:own:Definite=Def, node:N:own:Gender=Com, node:N:own:Number=Plur, node:N:child:upos={'ADV', 'SCONJ'}, node:N:child:rel_shallow={'advmod', 'mark'}, node:CLH:own:Case=Nom, node:CLH:own:Definite=Ind, node:CLH:own:Gender=Neut, node:CLH:own:Number=Sing, node:CLH:own:upos=NOUN, node:CLH:own:rel_shallow=root</t>
  </si>
  <si>
    <t>sent_id: 1850_1899_499_sec885 | rules: sentence:meta:period=1850_1899, node:X:own:Voice=Act, node:X:child:Case={'Nom'}, node:X:child:Definite={'Ind', 'Def'}, node:X:child:Gender={'Com', 'Neut'}, node:X:child:Number={'Sing', 'Plur'}, node:X:child:PronType={'Int'}, node:N:own:Case=Nom, node:N:own:Definite=Def, node:N:own:Gender=Com, node:N:own:Number=Sing, node:N:own:PronType=Prs, node:N:own:has_child=No, node:CLH:own:Case=Nom, node:CLH:own:Definite=Ind, node:CLH:own:Gender=Neut, node:CLH:own:Number=Sing, node:CLH:own:upos=NOUN, node:CLH:own:rel_shallow=root</t>
  </si>
  <si>
    <t>sent_id: 1850_1899_532_sec885 | rules: sentence:meta:period=1850_1899, node:X:own:Voice=Act, node:X:child:Case={'Nom'}, node:X:child:Definite={'Ind', 'Def'}, node:X:child:Gender={'Com', 'Neut'}, node:X:child:Number={'Sing'}, node:N:own:Case=Nom, node:N:own:Definite=Ind, node:N:own:Gender=Neut, node:N:own:Number=Sing, node:N:own:has_child=No, node:CLH:own:Case=Nom, node:CLH:own:Definite=Ind, node:CLH:own:Gender=Com, node:CLH:own:Number=Sing, node:CLH:own:upos=NOUN, node:CLH:own:rel_shallow=root</t>
  </si>
  <si>
    <t>sent_id: 1850_1899_542_sec885 | rules: sentence:meta:period=1850_1899, node:X:own:Voice=Act, node:X:child:Case={'Nom'}, node:X:child:Definite={'Ind'}, node:X:child:Gender={'Com'}, node:X:child:Number={'Plur'}, node:N:own:Case=Nom, node:N:own:Definite=Def, node:N:own:Gender=Com, node:N:own:Number=Plur, node:N:own:PronType=Prs, node:N:own:has_child=No, node:CLH:own:Mood=Ind, node:CLH:own:Tense=Pres, node:CLH:own:VerbForm=Fin, node:CLH:own:Voice=Act, node:CLH:own:upos=VERB, node:CLH:own:rel_shallow=root</t>
  </si>
  <si>
    <t>sent_id: 1800_1849_1120_sec252 | rules: sentence:meta:period=1800_1849, node:X:own:Voice=Act, node:X:child:Case={'Nom'},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node:CLH:own:rel_shallow=root</t>
  </si>
  <si>
    <t>sent_id: 1800_1849_2057_sec252 | rules: sentence:meta:period=1800_1849, node:X:own:Voice=Act, node:X:child:Case={'Nom'}, node:X:child:Definite={'Ind', 'Def'}, node:X:child:Degree={'Pos'}, node:X:child:Gender={'Com', 'Neut'}, node:X:child:Number={'Sing'}, node:X:child:PronType={'Prs'}, node:N:own:Case=Nom, node:N:child:Definite={'Def'}, node:N:child:Gender={'Com'}, node:N:child:Number={'Sing'}, node:N:child:Poss={'Yes'}, node:N:child:PronType={'Prs'}, node:N:child:upos={'PRON'}, node:N:child:rel_shallow={'nmod:poss'}, node:CLH:own:VerbForm=Inf, node:CLH:own:Voice=Act, node:CLH:own:upos=VERB, node:CLH:own:rel_shallow=root</t>
  </si>
  <si>
    <t>sent_id: 1800_1849_99_sec254 | rules: sentence:meta:period=1800_1849, node:X:own:Voice=Act, node:X:child:Case={'Nom'}, node:X:child:Definite={'Ind', 'Def'}, node:X:child:Gender={'Com'}, node:X:child:Number={'Sing'},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node:CLH:own:rel_shallow=root</t>
  </si>
  <si>
    <t>sent_id: 1800_1849_126_sec324 | rules: sentence:meta:period=1800_1849, node:X:own:Voice=Act, node:X:child:Case={'Nom'}, node:X:child:Definite={'Ind'}, node:X:child:Gender={'Com', 'Neut'}, node:X:child:Number={'Sing'}, node:N:own:Case=Nom, node:N:own:Definite=Def, node:N:own:Gender=Com, node:N:own:Number=Sing, node:N:own:PronType=Prs, node:N:own:has_child=No, node:CLH:own:VerbForm=Inf, node:CLH:own:Voice=Act, node:CLH:own:upos=VERB, node:CLH:own:rel_shallow=root</t>
  </si>
  <si>
    <t>sent_id: 1800_1849_141_sec324 | rules: sentence:meta:period=1800_1849, node:X:own:Voice=Act, node:X:child:Case={'Nom', 'Acc'}, node:X:child:Definite={'Ind', 'Def'}, node:X:child:Degree={'Pos'}, node:X:child:Gender={'Com', 'Neut'}, node:X:child:Number={'Sing'}, node:X:child:PronType={'Int', 'Prs'}, node:N:own:Case=Nom, node:N:own:Definite=Ind, node:N:own:Gender=Neut, node:N:own:Number=Sing, node:N:child:Definite={'Def'}, node:N:child:Gender={'Neut'}, node:N:child:Number={'Sing'}, node:N:child:PronType={'Dem'}, node:N:child:upos={'DET'}, node:N:child:rel_shallow={'det'}, node:CLH:own:Mood=Ind, node:CLH:own:Tense=Past, node:CLH:own:VerbForm=Fin, node:CLH:own:Voice=Act, node:CLH:own:upos=VERB, node:CLH:own:rel_shallow=root</t>
  </si>
  <si>
    <t>sent_id: 1800_1849_226_sec324 | rules: sentence:meta:period=1800_1849, node:X:own:Voice=Act, node:X:child:Case={'Nom'}, node:X:child:Definite={'Def'}, node:X:child:Gender={'Com'}, node:X:child:Number={'Sing'}, node:N:own:Case=Nom, node:N:own:Definite=Ind, node:N:own:Gender=Neut, node:N:own:Number=Sing, node:N:child:Case={'Gen'}, node:N:child:Definite={'Def'}, node:N:child:Gender={'Com'}, node:N:child:Number={'Sing'}, node:N:child:upos={'NOUN'}, node:N:child:rel_shallow={'nmod:poss'}, node:CLH:own:VerbForm=Inf, node:CLH:own:Voice=Act, node:CLH:own:upos=VERB, node:CLH:own:rel_shallow=root</t>
  </si>
  <si>
    <t>sent_id: 1800_1849_339_sec324 | rules: sentence:meta:period=1800_1849, node:X:own:Voice=Act, node:N:own:Case=Nom, node:N:own:Definite=Def, node:N:own:Gender=Com, node:N:own:Number=Sing, node:N:own:PronType=Prs, node:N:own:has_child=No, node:CLH:own:Case=Nom, node:CLH:own:Definite=Ind, node:CLH:own:Gender=Com, node:CLH:own:Number=Sing, node:CLH:own:upos=NOUN, node:CLH:own:rel_shallow=parataxis</t>
  </si>
  <si>
    <t>sent_id: 1800_1849_375_sec324 | rules: sentence:meta:period=1800_1849, node:X:own:Voice=Act, node:X:child:Case={'Nom', 'Acc'}, node:X:child:Definite={'Ind', 'Def'}, node:X:child:Gender={'Com'}, node:X:child:Number={'Sing', 'Plur'}, node:X:child:PronType={'Prs'},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node:CLH:own:rel_shallow=root</t>
  </si>
  <si>
    <t>sent_id: 1800_1849_20_sec494 | rules: sentence:meta:period=1800_1849, node:X:own:Voice=Act, node:X:child:Case={'Acc'}, node:X:child:Definite={'Def'}, node:X:child:Number={'Plur'}, node:X:child:PronType={'Prs'}, node:N:own:Case=Nom, node:N:own:Definite=Def, node:N:own:Gender=Com, node:N:own:Number=Sing, node:N:child:Case={'Nom'}, node:N:child:Definite={'Def'}, node:N:child:Gender={'Com'}, node:N:child:Number={'Sing'}, node:N:child:upos={'NOUN'}, node:N:child:rel_shallow={'conj'}, node:CLH:own:Case=Nom, node:CLH:own:Definite=Ind, node:CLH:own:Gender=Com, node:CLH:own:Number=Sing, node:CLH:own:upos=NOUN, node:CLH:own:rel_shallow=obj</t>
  </si>
  <si>
    <t>sent_id: 1800_1849_120_sec494 | rules: sentence:meta:period=1800_1849, node:X:own:Voice=Act, node:X:child:Case={'Nom'}, node:X:child:Definite={'Ind'}, node:X:child:Degree={'Pos'}, node:X:child:Number={'Sing', 'Plur'}, node:X:child:Gender={'Com'}, node:N:own:Case=Nom, node:N:own:Definite=Def, node:N:own:Number=Plur, node:N:own:PronType=Prs, node:N:own:has_child=No, node:CLH:own:Case=Nom, node:CLH:own:Definite=Ind, node:CLH:own:Degree=Pos, node:CLH:own:Number=Plur, node:CLH:own:upos=ADJ, node:CLH:own:rel_shallow=root</t>
  </si>
  <si>
    <t>sent_id: 1800_1849_448_sec494 | rules: sentence:meta:period=1800_1849, node:X:own:Voice=Act, node:X:child:Case={'Nom'}, node:X:child:Definite={'Ind'}, node:X:child:Gender={'Com'}, node:X:child:Number={'Sing', 'Plur'}, node:N:own:Case=Nom, node:N:own:Definite=Def, node:N:own:Number=Plur, node:N:own:PronType=Prs, node:N:own:has_child=No, node:CLH:own:VerbForm=Inf, node:CLH:own:Voice=Act, node:CLH:own:upos=VERB, node:CLH:own:rel_shallow=root</t>
  </si>
  <si>
    <t>sent_id: 1800_1849_466_sec494 | rules: sentence:meta:period=1800_1849, node:X:own:Voice=Act, node:X:child:Case={'Acc'}, node:X:child:Definite={'Def'}, node:X:child:Gender={'Com'}, node:X:child:Number={'Sing'}, node:X:child:PronType={'Prs'},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node:CLH:own:rel_shallow=root</t>
  </si>
  <si>
    <t>sent_id: 1800_1849_497_sec494 | rules: sentence:meta:period=1800_1849, node:X:own:Voice=Act, node:X:child:Case={'Nom'}, node:N:own:Definite=Ind, node:N:own:Gender=Com, node:N:own:Number=Sing, node:N:own:PronType=Rel, node:N:own:has_child=No, node:CLH:own:Case=Nom, node:CLH:own:Definite=Ind, node:CLH:own:Gender=Com, node:CLH:own:Number=Sing, node:CLH:own:upos=NOUN, node:CLH:own:rel_shallow=root</t>
  </si>
  <si>
    <t>sent_id: 1800_1849_1073_sec494 | rules: sentence:meta:period=1800_1849, node:X:own:Voice=Act, node:X:child:Case={'Nom'}, node:X:child:Definite={'Ind'}, node:X:child:Gender={'Com'}, node:X:child:Number={'Sing'}, node:N:own:Case=Nom, node:N:own:Definite=Def, node:N:own:Gender=Com, node:N:own:Number=Sing, node:N:own:PronType=Prs, node:N:own:has_child=No, node:CLH:own:Case=Nom, node:CLH:own:Definite=Ind, node:CLH:own:Degree=Pos, node:CLH:own:Number=Plur, node:CLH:own:upos=ADJ, node:CLH:own:rel_shallow=conj</t>
  </si>
  <si>
    <t>sent_id: 1800_1849_1493_sec545 | rules: sentence:meta:period=1800_1849, node:X:own:Voice=Act, node:X:child:Case={'Nom'}, node:X:child:Definite={'Ind'}, node:X:child:Gender={'Com'}, node:X:child:Number={'Sing'}, node:N:own:Case=Nom, node:N:own:Definite=Def, node:N:own:Number=Plur, node:N:own:PronType=Prs, node:N:own:has_child=No, node:CLH:own:VerbForm=Inf, node:CLH:own:Voice=Act, node:CLH:own:upos=VERB, node:CLH:own:rel_shallow=root</t>
  </si>
  <si>
    <t>sent_id: 1800_1849_44_sec987 | rules: sentence:meta:period=1800_1849, node:X:own:Voice=Act, node:X:child:Case={'Nom'}, node:X:child:Definite={'Ind'}, node:X:child:Degree={'Pos'}, node:X:child:Gender={'Com'}, node:X:child:Number={'Sing'},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node:CLH:own:rel_shallow=root</t>
  </si>
  <si>
    <t>sent_id: 1800_1849_182_sec988 | rules: sentence:meta:period=1800_1849, node:X:own:Voice=Act, node:X:child:Case={'Nom'}, node:X:child:Definite={'Ind'}, node:X:child:Gender={'Com', 'Neut'}, node:X:child:Number={'Sing'}, node:N:own:Case=Nom, node:N:own:Definite=Def, node:N:own:Gender=Com, node:N:own:Number=Sing, node:N:own:PronType=Prs, node:N:own:has_child=No, node:CLH:own:VerbForm=Inf, node:CLH:own:Voice=Act, node:CLH:own:upos=VERB, node:CLH:own:rel_shallow=root</t>
  </si>
  <si>
    <t>sent_id: 1800_1849_259_sec988 | rules: sentence:meta:period=1800_1849, node:X:own:Voice=Act, node:N:own:Case=Nom, node:N:own:Definite=Def, node:N:own:Gender=Com, node:N:own:Number=Sing, node:N:own:PronType=Prs, node:N:own:has_child=No, node:CLH:own:Case=Nom, node:CLH:own:Definite=Ind, node:CLH:own:Gender=Com, node:CLH:own:Number=Sing, node:CLH:own:upos=NOUN, node:CLH:own:rel_shallow=parataxis</t>
  </si>
  <si>
    <t>sent_id: 1800_1849_470_sec988 | rules: sentence:meta:period=1800_1849, node:X:own:Voice=Act, node:X:child:Case={'Nom'}, node:X:child:Definite={'Def'}, node:X:child:Gender={'Com'}, node:X:child:Number={'Sing'}, node:N:own:Case=Nom, node:N:own:Definite=Ind, node:N:own:Gender=Neut, node:N:own:Number=Sing, node:N:child:Case={'Gen'}, node:N:child:Definite={'Def'}, node:N:child:Gender={'Com'}, node:N:child:Number={'Sing'}, node:N:child:upos={'NOUN'}, node:N:child:rel_shallow={'nmod:poss'}, node:CLH:own:VerbForm=Inf, node:CLH:own:Voice=Act, node:CLH:own:upos=VERB, node:CLH:own:rel_shallow=root</t>
  </si>
  <si>
    <t>sent_id: 1800_1849_495_sec988 | rules: sentence:meta:period=1800_1849, node:X:own:Voice=Act, node:X:child:Case={'Nom', 'Acc'}, node:X:child:Definite={'Ind', 'Def'}, node:X:child:Gender={'Com'}, node:X:child:Number={'Sing', 'Plur'}, node:X:child:PronType={'Prs'}, node:N:own:Case=Nom, node:N:own:Definite=Def, node:N:own:Gender=Com, node:N:own:Number=Sing, node:N:own:PronType=Prs, node:N:own:has_child=No, node:CLH:own:VerbForm=Sup, node:CLH:own:Voice=Act, node:CLH:own:upos=VERB, node:CLH:own:rel_shallow=root</t>
  </si>
  <si>
    <t>sent_id: 1750_1799_127_letter141677 | rules: sentence:meta:period=1750_1799, node:X:own:Voice=Act, node:X:child:Case={'Nom'}, node:X:child:Definite={'Ind'}, node:X:child:Gender={'Com'}, node:X:child:Number={'Plur'}, node:N:own:Definite=Def, node:N:own:Gender=Neut, node:N:own:Number=Sing, node:N:own:PronType=Prs, node:N:own:has_child=No, node:CLH:own:VerbForm=Inf, node:CLH:own:Voice=Act, node:CLH:own:upos=VERB, node:CLH:own:rel_shallow=conj</t>
  </si>
  <si>
    <t>sent_id: 1750_1799_205_letter141677 | rules: sentence:meta:period=1750_1799, node:X:own:Voice=Act, node:X:child:Case={'Nom'}, node:X:child:Definite={'Ind', 'Def'}, node:X:child:Gender={'Com'}, node:X:child:Number={'Sing'}, node:X:child:PronType={'Prs', 'Neg'}, node:N:own:Foreign=Yes, node:N:child:VerbForm={'Sup'}, node:N:child:Voice={'Act'}, node:N:child:upos={'VERB', 'PROPN'}, node:N:child:rel_shallow={'nmod', 'acl:relcl'}, node:N:child:Case={'Nom'}, node:CLH:own:VerbForm=Sup, node:CLH:own:Voice=Act, node:CLH:own:upos=VERB, node:CLH:own:rel_shallow=ccomp</t>
  </si>
  <si>
    <t>sent_id: 1750_1799_205_letter141677 | rules: sentence:meta:period=1750_1799, node:X:own:Voice=Act, node:X:child:Foreign={'Yes'}, node:X:child:Definite={'Ind'}, node:X:child:Gender={'Com'}, node:X:child:Number={'Sing'}, node:X:child:PronType={'Neg'}, node:N:own:Case=Nom, node:N:own:Definite=Def, node:N:own:Gender=Com, node:N:own:Number=Sing, node:N:own:PronType=Prs, node:N:child:Case={'Nom'}, node:N:child:Definite={'Ind'}, node:N:child:Gender={'Com'}, node:N:child:Number={'Sing'}, node:N:child:upos={'NOUN', 'SCONJ'}, node:N:child:rel_shallow={'nmod', 'mark'}, node:CLH:own:VerbForm=Sup, node:CLH:own:Voice=Act, node:CLH:own:upos=VERB, node:CLH:own:rel_shallow=ccomp</t>
  </si>
  <si>
    <t>sent_id: 1750_1799_308_letter141677 | rules: sentence:meta:period=1750_1799, node:X:own:Voice=Act, node:X:child:Case={'Nom'}, node:X:child:Definite={'Def'}, node:X:child:Gender={'Neut'}, node:X:child:Number={'Sing', 'Plur'}, node:X:child:PronType={'Prs'}, node:N:own:Case=Nom, node:N:own:Definite=Ind, node:N:own:Degree=Pos, node:N:own:Gender=Com, node:N:own:Number=Sing, node:N:child:Case={'Nom'}, node:N:child:Definite={'Def'}, node:N:child:Degree={'Pos'}, node:N:child:upos={'ADJ'}, node:N:child:rel_shallow={'amod'}, node:CLH:own:VerbForm=Sup, node:CLH:own:Voice=Act, node:CLH:own:upos=VERB, node:CLH:own:rel_shallow=acl:relcl</t>
  </si>
  <si>
    <t>sent_id: 1750_1799_484_letter141677 | rules: sentence:meta:period=1750_1799, node:X:own:Voice=Act, node:X:child:Degree={'Pos'}, node:N:own:Case=Nom, node:N:own:Definite=Def, node:N:own:Gender=Com, node:N:own:Number=Sing, node:N:own:PronType=Prs, node:N:own:has_child=No, node:CLH:own:upos=ADV, node:CLH:own:rel_shallow=advcl</t>
  </si>
  <si>
    <t>sent_id: 1750_1799_674_letter141677 | rules: sentence:meta:period=1750_1799, node:X:own:Voice=Act, node:X:child:Case={'Nom', 'Acc'}, node:X:child:Definite={'Ind', 'Def'}, node:X:child:Gender={'Com', 'Neut'}, node:X:child:Number={'Sing', 'Plur'}, node:X:child:PronType={'Prs'}, node:N:own:Case=Nom, node:N:own:Definite=Def, node:N:own:Gender=Com, node:N:own:Number=Plur, node:N:own:PronType=Prs, node:N:own:has_child=No, node:CLH:own:Case=Nom, node:CLH:own:Definite=Ind, node:CLH:own:Degree=Pos, node:CLH:own:Number=Plur, node:CLH:own:Tense=Past, node:CLH:own:VerbForm=Part, node:CLH:own:upos=ADJ, node:CLH:own:rel_shallow=conj</t>
  </si>
  <si>
    <t>sent_id: 1750_1799_703_letter141677 | rules: sentence:meta:period=1750_1799, node:X:own:Voice=Act, node:X:child:Case={'Nom'}, node:X:child:Definite={'Ind'}, node:X:child:Gender={'Com'}, node:X:child:Number={'Sing', 'Plur'}, node:X:child:Polarity={'Neg'}, node:N:own:Case=Nom, node:N:own:Definite=Def, node:N:own:Number=Plur, node:N:own:PronType=Prs, node:N:own:has_child=No, node:CLH:own:VerbForm=Sup, node:CLH:own:Voice=Act, node:CLH:own:upos=VERB, node:CLH:own:rel_shallow=conj</t>
  </si>
  <si>
    <t>sent_id: 1750_1799_703_letter141677 | rules: sentence:meta:period=1750_1799, node:X:own:Voice=Act, node:X:child:Case={'Nom'}, node:X:child:Definite={'Ind', 'Def'}, node:X:child:Gender={'Com'}, node:X:child:Number={'Sing', 'Plur'}, node:X:child:Polarity={'Neg'}, node:X:child:PronType={'Prs'}, node:N:own:Case=Nom, node:N:own:Definite=Ind, node:N:own:Gender=Com, node:N:own:Number=Sing, node:N:child:Case={'Acc'}, node:N:child:Definite={'Def'}, node:N:child:Gender={'Com'}, node:N:child:Number={'Sing'}, node:N:child:PronType={'Prs'}, node:N:child:upos={'PRON'}, node:N:child:rel_shallow={'flat:name', 'nmod:poss'}, node:N:child:Poss={'Yes'}, node:CLH:own:VerbForm=Sup, node:CLH:own:Voice=Act, node:CLH:own:upos=VERB, node:CLH:own:rel_shallow=conj</t>
  </si>
  <si>
    <t>sent_id: 1750_1799_823_letter141677 | rules: sentence:meta:period=1750_1799, node:X:own:Voice=Act, node:X:child:Case={'Nom'}, node:X:child:Degree={'Sup'}, node:N:own:Case=Nom, node:N:own:Definite=Def, node:N:own:Gender=Com, node:N:own:Number=Sing, node:N:own:PronType=Prs, node:N:own:has_child=No, node:CLH:own:Mood=Ind, node:CLH:own:Tense=Pres, node:CLH:own:VerbForm=Fin, node:CLH:own:Voice=Pass, node:CLH:own:upos=VERB, node:CLH:own:rel_shallow=root</t>
  </si>
  <si>
    <t>sent_id: 1750_1799_1107_letter141677 | rules: sentence:meta:period=1750_1799, node:X:own:Voice=Act, node:X:child:Case={'Nom', 'Acc'}, node:X:child:Definite={'Ind', 'Def'}, node:X:child:Gender={'Com', 'Neut'}, node:X:child:Number={'Sing', 'Plur'}, node:X:child:PronType={'Prs'}, node:N:own:Case=Nom, node:N:own:has_child=No, node:CLH:own:Case=Nom, node:CLH:own:Definite=Ind, node:CLH:own:Gender=Com, node:CLH:own:Number=Plur, node:CLH:own:upos=NOUN, node:CLH:own:rel_shallow=nmod</t>
  </si>
  <si>
    <t>sent_id: 1750_1799_1119_letter141677 | rules: sentence:meta:period=1750_1799, node:X:own:Voice=Act, node:X:child:Case={'Nom'}, node:X:child:Definite={'Ind', 'Def'}, node:X:child:Gender={'Com', 'Neut'}, node:X:child:Number={'Sing'}, node:X:child:Poss={'Yes'}, node:X:child:PronType={'Prs'}, node:N:own:Definite=Ind, node:N:own:Gender=Com, node:N:own:Number=Sing, node:N:own:PronType=Neg, node:N:child:VerbForm={'Sup'}, node:N:child:Voice={'Act'}, node:N:child:upos={'VERB', 'PRON'}, node:N:child:rel_shallow={'nmod', 'acl:relcl'}, node:N:child:Definite={'Ind'}, node:N:child:Number={'Plur'}, node:N:child:PronType={'Tot'}, node:CLH:own:Mood=Ind, node:CLH:own:Tense=Past, node:CLH:own:VerbForm=Fin, node:CLH:own:Voice=Act, node:CLH:own:upos=VERB, node:CLH:own:rel_shallow=root</t>
  </si>
  <si>
    <t>sent_id: 1750_1799_1160_letter141677 | rules: sentence:meta:period=1750_1799, node:X:own:Voice=Act, node:X:child:Case={'Nom'}, node:X:child:Definite={'Ind', 'Def'}, node:X:child:Gender={'Com', 'Neut'}, node:X:child:Number={'Sing', 'Plur'}, node:N:own:Case=Nom, node:N:own:Definite=Def, node:N:own:Number=Plur, node:N:own:PronType=Prs, node:N:own:has_child=No, node:CLH:own:Mood=Ind, node:CLH:own:Tense=Pres, node:CLH:own:VerbForm=Fin, node:CLH:own:Voice=Pass, node:CLH:own:upos=VERB, node:CLH:own:rel_shallow=root</t>
  </si>
  <si>
    <t>sent_id: 1750_1799_1408_letter141677 | rules: sentence:meta:period=1750_1799, node:X:own:Voice=Act, node:X:child:Case={'Nom'}, node:X:child:NumType={'Card'}, node:N:own:Case=Nom, node:N:own:Definite=Def, node:N:own:Gender=Com, node:N:own:Number=Sing, node:N:own:PronType=Prs, node:N:own:has_child=No, node:CLH:own:Case=Nom, node:CLH:own:Definite=Ind, node:CLH:own:Degree=Pos, node:CLH:own:Gender=Com, node:CLH:own:Number=Sing, node:CLH:own:Tense=Past, node:CLH:own:VerbForm=Part, node:CLH:own:upos=ADJ, node:CLH:own:rel_shallow=root</t>
  </si>
  <si>
    <t>sent_id: 1750_1799_1550_letter141677 | rules: sentence:meta:period=1750_1799, node:X:own:Voice=Act, node:X:child:Case={'Nom'}, node:X:child:Definite={'Ind'}, node:X:child:Degree={'Pos'}, node:X:child:Gender={'Com', 'Neut'}, node:X:child:Number={'Sing'}, node:N:own:Case=Nom, node:N:own:Definite=Ind, node:N:own:Gender=Com, node:N:own:Number=Sing, node:N:own:has_child=No, node:CLH:own:VerbForm=Sup, node:CLH:own:Voice=Act, node:CLH:own:upos=VERB, node:CLH:own:rel_shallow=advcl</t>
  </si>
  <si>
    <t>sent_id: 1750_1799_1735_letter141677 | rules: sentence:meta:period=1750_1799, node:X:own:Voice=Act, node:X:child:Case={'Nom'}, node:X:child:Definite={'Ind'}, node:X:child:Gender={'Com', 'Neut'}, node:X:child:Number={'Sing'}, node:N:own:Case=Nom, node:N:own:Definite=Def, node:N:own:Gender=Com, node:N:own:Number=Sing, node:N:own:has_child=No, node:CLH:own:VerbForm=Inf, node:CLH:own:Voice=Act, node:CLH:own:upos=VERB, node:CLH:own:rel_shallow=acl:relcl</t>
  </si>
  <si>
    <t>sent_id: 1750_1799_2098_letter141677 | rules: sentence:meta:period=1750_1799, node:X:own:Voice=Act, node:X:child:Case={'Nom', 'Acc'}, node:X:child:Definite={'Ind', 'Def'}, node:X:child:Gender={'Com', 'Neut'}, node:X:child:Number={'Sing', 'Plur'}, node:X:child:PronType={'Prs'}, node:N:own:Case=Nom, node:N:own:Definite=Ind, node:N:own:Gender=Com, node:N:own:Number=Sing, node:N:own:has_child=No, node:CLH:own:VerbForm=Inf, node:CLH:own:Voice=Act, node:CLH:own:upos=VERB, node:CLH:own:rel_shallow=root</t>
  </si>
  <si>
    <t>sent_id: 1750_1799_2098_letter141677 | rules: sentence:meta:period=1750_1799, node:X:own:Voice=Act, node:X:child:Case={'Nom', 'Acc'}, node:X:child:Definite={'Ind', 'Def'}, node:X:child:Gender={'Com'}, node:X:child:Number={'Sing'}, node:X:child:PronType={'Prs'}, node:N:own:Case=Nom, node:N:own:Definite=Ind, node:N:own:Gender=Neut, node:N:own:Number=Plur, node:N:child:Case={'Nom'}, node:N:child:Definite={'Ind'}, node:N:child:Degree={'Pos'}, node:N:child:Number={'Plur'}, node:N:child:upos={'ADJ', 'ADV'}, node:N:child:rel_shallow={'advmod', 'amod'}, node:CLH:own:VerbForm=Inf, node:CLH:own:Voice=Act, node:CLH:own:upos=VERB, node:CLH:own:rel_shallow=root</t>
  </si>
  <si>
    <t>sent_id: 1750_1799_2212_letter141677 | rules: sentence:meta:period=1750_1799, node:X:own:Voice=Act, node:X:child:Case={'Nom'}, node:X:child:Definite={'Def'}, node:X:child:Gender={'Com', 'Neut'}, node:X:child:Number={'Sing'}, node:X:child:PronType={'Prs'}, node:X:child:Abbr={'Yes'}, node:N:own:Case=Nom, node:N:own:Definite=Def, node:N:own:Gender=Com, node:N:own:Number=Sing, node:N:child:Case={'Nom'}, node:N:child:Definite={'Def'}, node:N:child:Gender={'Neut'}, node:N:child:Number={'Sing'}, node:N:child:upos={'NOUN'}, node:N:child:rel_shallow={'nmod'}, node:CLH:own:Case=Nom, node:CLH:own:NumType=Card, node:CLH:own:upos=NUM, node:CLH:own:rel_shallow=nummod</t>
  </si>
  <si>
    <t>sent_id: 1750_1799_2212_letter141677 | rules: sentence:meta:period=1750_1799, node:X:own:Voice=Act, node:X:child:Abbr={'Yes'}, node:X:child:Case={'Nom'}, node:X:child:Definite={'Def'}, node:X:child:Gender={'Com', 'Neut'}, node:X:child:Number={'Sing'}, node:N:own:Case=Nom, node:N:own:Definite=Def, node:N:own:Gender=Com, node:N:own:Number=Sing, node:N:own:PronType=Prs, node:N:own:has_child=No, node:CLH:own:Case=Nom, node:CLH:own:NumType=Card, node:CLH:own:upos=NUM, node:CLH:own:rel_shallow=nummod</t>
  </si>
  <si>
    <t>sent_id: 1750_1799_2357_letter141677 | rules: sentence:meta:period=1750_1799, node:X:own:Voice=Act, node:X:child:Case={'Nom'}, node:X:child:Definite={'Ind'}, node:X:child:Gender={'Com', 'Neut'}, node:X:child:Number={'Sing', 'Plur'}, node:N:own:Case=Nom, node:N:own:Definite=Ind, node:N:own:Gender=Com, node:N:own:Number=Sing, node:N:child:Definite={'Ind'}, node:N:child:Gender={'Com'}, node:N:child:Number={'Sing'}, node:N:child:PronType={'Art'}, node:N:child:upos={'DET'}, node:N:child:rel_shallow={'det'}, node:CLH:own:VerbForm=Inf, node:CLH:own:Voice=Act, node:CLH:own:upos=VERB, node:CLH:own:rel_shallow=root</t>
  </si>
  <si>
    <t>sent_id: 1750_1799_2361_letter141677 | rules: sentence:meta:period=1750_1799, node:X:own:Voice=Act, node:X:child:Case={'Nom'}, node:X:child:Definite={'Ind'}, node:X:child:Gender={'Neut'}, node:X:child:Number={'Sing'}, node:N:own:Case=Nom, node:N:own:Definite=Ind, node:N:own:Gender=Com, node:N:own:Number=Sing, node:N:child:Case={'Gen', 'Nom'}, node:N:child:Definite={'Ind'}, node:N:child:Gender={'Com'}, node:N:child:Number={'Sing', 'Plur'}, node:N:child:upos={'ADJ', 'DET', 'NOUN'}, node:N:child:rel_shallow={'det', 'nmod:poss', 'amod'}, node:N:child:Degree={'Pos'}, node:N:child:PronType={'Tot'}, node:CLH:own:Case=Nom, node:CLH:own:Definite=Ind, node:CLH:own:Degree=Pos, node:CLH:own:Gender=Com, node:CLH:own:Number=Sing, node:CLH:own:upos=ADJ, node:CLH:own:rel_shallow=conj</t>
  </si>
  <si>
    <t>sent_id: 1750_1799_2361_letter141677 | rules: sentence:meta:period=1750_1799, node:X:own:Voice=Act, node:X:child:Case={'Nom'}, node:X:child:Definite={'Ind'}, node:X:child:Gender={'Com', 'Neut'}, node:X:child:Number={'Sing'}, node:N:own:Case=Nom, node:N:own:Definite=Ind, node:N:own:Gender=Neut, node:N:own:Number=Sing, node:N:child:Case={'Nom'}, node:N:child:Definite={'Ind'}, node:N:child:Degree={'Pos'}, node:N:child:Gender={'Neut'}, node:N:child:Number={'Sing'}, node:N:child:upos={'ADJ'}, node:N:child:rel_shallow={'amod'}, node:CLH:own:Case=Nom, node:CLH:own:Definite=Ind, node:CLH:own:Degree=Pos, node:CLH:own:Gender=Com, node:CLH:own:Number=Sing, node:CLH:own:upos=ADJ, node:CLH:own:rel_shallow=conj</t>
  </si>
  <si>
    <t>sent_id: 1750_1799_2601_letter141677 | rules: sentence:meta:period=1750_1799, node:X:own:Voice=Act, node:X:child:Case={'Nom', 'Acc'}, node:X:child:Definite={'Ind', 'Def'}, node:X:child:Degree={'Pos'}, node:X:child:Gender={'Com', 'Neut'}, node:X:child:Number={'Sing', 'Plur'}, node:X:child:PronType={'Prs'}, node:N:own:PronType=Rel, node:N:own:has_child=No, node:CLH:own:VerbForm=Sup, node:CLH:own:Voice=Act, node:CLH:own:upos=VERB, node:CLH:own:rel_shallow=root</t>
  </si>
  <si>
    <t>sent_id: 1750_1799_2722_letter141677 | rules: sentence:meta:period=1750_1799, node:X:own:Voice=Act, node:X:child:Case={'Nom', 'Acc'}, node:X:child:Definite={'Ind', 'Def'}, node:X:child:PronType={'Prs', 'Art'}, node:X:child:Gender={'Com', 'Neut'}, node:X:child:Number={'Sing'}, node:X:child:NumType={'Card'}, node:N:own:Case=Nom, node:N:own:Definite=Def, node:N:own:Gender=Com, node:N:own:Number=Sing, node:N:own:PronType=Prs, node:N:own:has_child=No, node:CLH:own:VerbForm=Sup, node:CLH:own:Voice=Act, node:CLH:own:upos=VERB, node:CLH:own:rel_shallow=ccomp</t>
  </si>
  <si>
    <t>sent_id: 1750_1799_2845_letter141677 | rules: sentence:meta:period=1750_1799, node:X:own:Voice=Act, node:N:own:Case=Nom, node:N:own:Definite=Ind, node:N:own:Gender=Com, node:N:own:Number=Plur, node:N:child:Case={'Nom'}, node:N:child:upos={'PROPN'}, node:N:child:rel_shallow={'amod'}, node:CLH:own:Mood=Ind, node:CLH:own:Tense=Past, node:CLH:own:VerbForm=Fin, node:CLH:own:Voice=Pass, node:CLH:own:upos=VERB, node:CLH:own:rel_shallow=root</t>
  </si>
  <si>
    <t>sent_id: 1750_1799_2869_letter141677 | rules: sentence:meta:period=1750_1799, node:X:own:Voice=Act, node:X:child:Case={'Nom'}, node:X:child:Definite={'Def'}, node:X:child:Gender={'Com'}, node:X:child:Number={'Sing'}, node:N:own:Case=Nom, node:N:own:Definite=Def, node:N:own:Gender=Com, node:N:own:Number=Sing, node:N:own:has_child=No, node:CLH:own:VerbForm=Inf, node:CLH:own:Voice=Act, node:CLH:own:upos=VERB, node:CLH:own:rel_shallow=ccomp</t>
  </si>
  <si>
    <t>sent_id: 1750_1799_2901_letter141677 | rules: sentence:meta:period=1750_1799, node:X:own:Voice=Act, node:X:child:Case={'Nom'}, node:X:child:Definite={'Def'}, node:X:child:Gender={'Com'}, node:X:child:Number={'Sing'}, node:N:own:Case=Nom, node:N:own:Definite=Ind, node:N:own:Gender=Com, node:N:own:Number=Sing, node:N:own:has_child=No, node:CLH:own:Mood=Ind, node:CLH:own:Tense=Pres, node:CLH:own:VerbForm=Fin, node:CLH:own:Voice=Act, node:CLH:own:upos=VERB, node:CLH:own:rel_shallow=conj</t>
  </si>
  <si>
    <t>sent_id: 1750_1799_2977_letter141677 | rules: sentence:meta:period=1750_1799, node:X:own:Voice=Act, node:X:child:Case={'Nom', 'Acc'}, node:X:child:Definite={'Def'}, node:X:child:Gender={'Com'}, node:X:child:Number={'Sing'}, node:X:child:PronType={'Prs'}, node:X:child:NumType={'Card'}, node:N:own:Case=Nom, node:N:own:Definite=Def, node:N:own:Gender=Com, node:N:own:Number=Sing, node:N:own:has_child=No, node:CLH:own:Mood=Ind, node:CLH:own:Tense=Pres, node:CLH:own:VerbForm=Fin, node:CLH:own:Voice=Act, node:CLH:own:upos=VERB, node:CLH:own:rel_shallow=root</t>
  </si>
  <si>
    <t>sent_id: 1750_1799_3037_letter141677 | rules: sentence:meta:period=1750_1799, node:X:own:Voice=Act, node:X:child:Case={'Gen'}, node:X:child:Definite={'Ind'}, node:X:child:Gender={'Neut'}, node:X:child:Number={'Sing'}, node:N:own:Definite=Ind, node:N:own:Number=Plur, node:N:own:PronType=Tot, node:N:own:has_child=No, node:CLH:own:Case=Nom, node:CLH:own:Definite=Ind, node:CLH:own:Gender=Com, node:CLH:own:Number=Sing, node:CLH:own:upos=NOUN, node:CLH:own:rel_shallow=conj</t>
  </si>
  <si>
    <t>sent_id: 1750_1799_3079_letter141677 | rules: sentence:meta:period=1750_1799, node:X:own:Voice=Act, node:X:child:Case={'Nom'}, node:X:child:Definite={'Ind'}, node:X:child:Gender={'Com'}, node:X:child:Number={'Sing'}, node:N:own:Case=Nom, node:N:own:Definite=Def, node:N:own:Gender=Com, node:N:own:Number=Sing, node:N:own:PronType=Prs, node:N:own:has_child=No, node:CLH:own:VerbForm=Inf, node:CLH:own:Voice=Act, node:CLH:own:upos=VERB, node:CLH:own:rel_shallow=advcl</t>
  </si>
  <si>
    <t>sent_id: 1750_1799_3083_letter141677 | rules: sentence:meta:period=1750_1799, node:X:own:Voice=Act, node:X:child:Case={'Nom', 'Acc'}, node:X:child:Definite={'Ind', 'Def'}, node:X:child:Gender={'Com'}, node:X:child:Number={'Sing', 'Plur'}, node:X:child:PronType={'Prs'}, node:X:child:Polarity={'Neg'}, node:N:own:Case=Nom, node:N:own:Definite=Def, node:N:own:Gender=Com, node:N:own:Number=Plur, node:N:own:has_child=No, node:CLH:own:Case=Nom, node:CLH:own:Definite=Ind, node:CLH:own:Gender=Com, node:CLH:own:Number=Sing, node:CLH:own:upos=NOUN, node:CLH:own:rel_shallow=root</t>
  </si>
  <si>
    <t>sent_id: 1750_1799_3185_letter141677 | rules: sentence:meta:period=1750_1799, node:X:own:Voice=Act, node:X:child:Gender={'Com', 'Neut'}, node:X:child:Case={'Nom'}, node:X:child:Definite={'Ind'}, node:X:child:Number={'Sing'}, node:N:own:Foreign=Yes, node:N:child:Case={'Nom'}, node:N:child:Definite={'Ind'}, node:N:child:Degree={'Pos'}, node:N:child:Gender={'Com'}, node:N:child:Number={'Sing'}, node:N:child:upos={'ADJ'}, node:N:child:rel_shallow={'amod'}, node:CLH:own:Mood=Ind, node:CLH:own:Tense=Pres, node:CLH:own:VerbForm=Fin, node:CLH:own:Voice=Act, node:CLH:own:upos=VERB, node:CLH:own:rel_shallow=root</t>
  </si>
  <si>
    <t>sent_id: 1750_1799_3185_letter141677 | rules: sentence:meta:period=1750_1799, node:X:own:Voice=Act, node:X:child:Case={'Nom'}, node:X:child:Definite={'Ind'}, node:X:child:Gender={'Neut'}, node:X:child:Number={'Sing'}, node:X:child:Foreign={'Yes'}, node:N:own:Gender=Com, node:N:child:Case={'Nom'}, node:N:child:upos={'ADV', 'NOUN', 'PROPN'}, node:N:child:rel_shallow={'advmod', 'nmod', 'conj'}, node:N:child:Definite={'Ind'}, node:N:child:Gender={'Com'}, node:N:child:Number={'Sing'}, node:CLH:own:Mood=Ind, node:CLH:own:Tense=Pres, node:CLH:own:VerbForm=Fin, node:CLH:own:Voice=Act, node:CLH:own:upos=VERB, node:CLH:own:rel_shallow=root</t>
  </si>
  <si>
    <t>sent_id: 1750_1799_3219_letter141677 | rules: sentence:meta:period=1750_1799, node:X:own:Voice=Act, node:X:child:Case={'Nom'}, node:X:child:Definite={'Ind'}, node:X:child:Gender={'Neut'}, node:X:child:Number={'Sing'}, node:N:own:Case=Nom, node:N:own:Definite=Ind, node:N:own:Gender=Com, node:N:own:Number=Sing, node:N:child:Definite={'Ind'}, node:N:child:Gender={'Com'}, node:N:child:Number={'Sing'}, node:N:child:PronType={'Art'}, node:N:child:upos={'DET'}, node:N:child:rel_shallow={'det'}, node:CLH:own:VerbForm=Inf, node:CLH:own:Voice=Act, node:CLH:own:upos=VERB, node:CLH:own:rel_shallow=root</t>
  </si>
  <si>
    <t>sent_id: 1750_1799_3239_letter141677 | rules: sentence:meta:period=1750_1799, node:X:own:Voice=Act, node:N:own:Case=Nom, node:N:own:Definite=Def, node:N:own:Gender=Com, node:N:own:Number=Sing, node:N:own:PronType=Prs, node:N:own:has_child=No, node:CLH:own:VerbForm=Inf, node:CLH:own:Voice=Act, node:CLH:own:upos=VERB, node:CLH:own:rel_shallow=conj</t>
  </si>
  <si>
    <t>sent_id: 1750_1799_3281_letter141677 | rules: sentence:meta:period=1750_1799, node:X:own:Voice=Act, node:X:child:Degree={'Pos'}, node:X:child:Case={'Nom'}, node:X:child:Definite={'Ind', 'Def'}, node:X:child:Gender={'Com'}, node:X:child:Number={'Sing'}, node:X:child:PronType={'Prs'}, node:N:own:Foreign=Yes, node:N:child:Case={'Nom'}, node:N:child:Definite={'Ind'}, node:N:child:Gender={'Com'}, node:N:child:Number={'Sing'}, node:N:child:upos={'NOUN'}, node:N:child:rel_shallow={'nmod'}, node:CLH:own:Case=Nom, node:CLH:own:Definite=Ind, node:CLH:own:Gender=Com, node:CLH:own:Number=Sing, node:CLH:own:upos=NOUN, node:CLH:own:rel_shallow=root</t>
  </si>
  <si>
    <t>sent_id: 1750_1799_3281_letter141677 | rules: sentence:meta:period=1750_1799, node:X:own:Voice=Act, node:X:child:Degree={'Pos'}, node:X:child:Case={'Nom'}, node:X:child:Definite={'Ind'}, node:X:child:Gender={'Com'}, node:X:child:Number={'Sing'}, node:X:child:Foreign={'Yes'}, node:N:own:Case=Nom, node:N:own:Definite=Def, node:N:own:Gender=Com, node:N:own:Number=Sing, node:N:own:PronType=Prs, node:N:own:has_child=No, node:CLH:own:Case=Nom, node:CLH:own:Definite=Ind, node:CLH:own:Gender=Com, node:CLH:own:Number=Sing, node:CLH:own:upos=NOUN, node:CLH:own:rel_shallow=root</t>
  </si>
  <si>
    <t>sent_id: 1750_1799_3583_letter141677 | rules: sentence:meta:period=1750_1799, node:X:own:Voice=Act, node:X:child:Case={'Nom'}, node:X:child:Definite={'Ind'}, node:X:child:Gender={'Com'}, node:X:child:Number={'Sing'}, node:N:own:Case=Nom, node:N:own:Definite=Def, node:N:own:Gender=Com, node:N:own:Number=Sing, node:N:child:Case={'Nom'}, node:N:child:Degree={'Pos'}, node:N:child:Tense={'Pres'}, node:N:child:VerbForm={'Part'}, node:N:child:upos={'ADJ', 'DET'}, node:N:child:rel_shallow={'det', 'amod'}, node:N:child:Definite={'Def'}, node:N:child:Gender={'Com'}, node:N:child:Number={'Sing'}, node:N:child:PronType={'Art'}, node:CLH:own:Mood=Ind, node:CLH:own:Tense=Pres, node:CLH:own:VerbForm=Fin, node:CLH:own:Voice=Act, node:CLH:own:upos=VERB, node:CLH:own:rel_shallow=root</t>
  </si>
  <si>
    <t>sent_id: 1750_1799_4369_letter141677 | rules: sentence:meta:period=1750_1799, node:X:own:Voice=Act, node:N:own:Definite=Ind, node:N:own:Gender=Com, node:N:own:Number=Sing, node:N:own:PronType=Ind, node:N:own:has_child=No, node:CLH:own:VerbForm=Inf, node:CLH:own:Voice=Pass, node:CLH:own:upos=VERB, node:CLH:own:rel_shallow=ccomp</t>
  </si>
  <si>
    <t>sent_id: 1750_1799_4724_letter141677 | rules: sentence:meta:period=1750_1799, node:X:own:Voice=Act, node:X:child:Case={'Nom'}, node:X:child:Definite={'Ind'}, node:X:child:Gender={'Neut'}, node:X:child:Number={'Sing'}, node:N:own:Definite=Ind, node:N:own:Gender=Neut, node:N:own:Number=Sing, node:N:own:PronType=Prs, node:N:own:has_child=No, node:CLH:own:VerbForm=Inf, node:CLH:own:Voice=Act, node:CLH:own:upos=VERB, node:CLH:own:rel_shallow=root</t>
  </si>
  <si>
    <t>sent_id: 1750_1799_5038_letter141677 | rules: sentence:meta:period=1750_1799, node:X:own:Voice=Act, node:X:child:Case={'Nom'}, node:X:child:Definite={'Ind'}, node:X:child:Degree={'Pos'}, node:X:child:Gender={'Com', 'Neut'}, node:X:child:Number={'Sing'}, node:N:own:Case=Nom, node:N:own:Definite=Def, node:N:own:Gender=Com, node:N:own:Number=Sing, node:N:own:PronType=Prs, node:N:own:has_child=No, node:CLH:own:Mood=Ind, node:CLH:own:Tense=Pres, node:CLH:own:VerbForm=Fin, node:CLH:own:Voice=Pass, node:CLH:own:upos=VERB, node:CLH:own:rel_shallow=root</t>
  </si>
  <si>
    <t>sent_id: 1750_1799_981_sec268 | rules: sentence:meta:period=1750_1799, node:X:own:Voice=Act, node:X:child:Definite={'Ind'}, node:X:child:Gender={'Neut'}, node:X:child:Number={'Sing'}, node:X:child:PronType={'Int'}, node:N:own:Case=Nom, node:N:own:has_child=No, node:CLH:own:upos=ADV, node:CLH:own:rel_shallow=advmod</t>
  </si>
  <si>
    <t>sent_id: 1750_1799_174_sec277 | rules: sentence:meta:period=1750_1799, node:X:own:Voice=Act, node:X:child:Case={'Nom'}, node:X:child:Definite={'Ind', 'Def'}, node:X:child:Degree={'Pos'}, node:X:child:Gender={'Com'}, node:X:child:Number={'Sing', 'Plur'}, node:X:child:PronType={'Dem'}, node:N:own:Case=Nom, node:N:own:Definite=Def, node:N:own:Gender=Com, node:N:own:Number=Sing, node:N:own:PronType=Prs, node:N:child:Case={'Nom'}, node:N:child:Definite={'Ind'}, node:N:child:Degree={'Pos'}, node:N:child:Gender={'Com'}, node:N:child:Number={'Sing'}, node:N:child:upos={'ADJ'}, node:N:child:rel_shallow={'acl'}, node:CLH:own:VerbForm=Inf, node:CLH:own:Voice=Act, node:CLH:own:upos=VERB, node:CLH:own:rel_shallow=acl</t>
  </si>
  <si>
    <t>sent_id: 1750_1799_9_sec839 | rules: sentence:meta:period=1750_1799, node:X:own:Voice=Act, node:X:child:Case={'Nom', 'Acc'}, node:X:child:Definite={'Ind', 'Def'}, node:X:child:Gender={'Com'}, node:X:child:Number={'Sing'}, node:X:child:PronType={'Prs'}, node:N:own:Case=Nom, node:N:own:Definite=Def, node:N:own:Gender=Com, node:N:own:Number=Sing, node:N:own:PronType=Prs, node:N:own:has_child=No, node:CLH:own:VerbForm=Inf, node:CLH:own:Voice=Act, node:CLH:own:upos=VERB, node:CLH:own:rel_shallow=conj</t>
  </si>
  <si>
    <t>sent_id: 1750_1799_210_sec839 | rules: sentence:meta:period=1750_1799, node:X:own:Voice=Act, node:X:child:Degree={'Pos'}, node:N:own:Case=Nom, node:N:child:Case={'Nom'}, node:N:child:Definite={'Ind', 'Def'}, node:N:child:Gender={'Com'}, node:N:child:Number={'Sing'}, node:N:child:upos={'PRON', 'NOUN'}, node:N:child:rel_shallow={'conj', 'nmod:poss'}, node:N:child:Poss={'Yes'}, node:N:child:PronType={'Prs'}, node:CLH:own:VerbForm=Sup, node:CLH:own:Voice=Act, node:CLH:own:upos=VERB, node:CLH:own:rel_shallow=root</t>
  </si>
  <si>
    <t>sent_id: 1750_1799_314_sec839 | rules: sentence:meta:period=1750_1799, node:X:own:Voice=Act, node:X:child:Case={'Acc'}, node:X:child:Definite={'Def'}, node:X:child:PronType={'Prs'}, node:N:own:Definite=Def, node:N:own:Gender=Neut, node:N:own:Number=Sing, node:N:own:PronType=Prs, node:N:own:has_child=No, node:CLH:own:Case=Nom, node:CLH:own:upos=PROPN, node:CLH:own:rel_shallow=root</t>
  </si>
  <si>
    <t>sent_id: 1750_1799_545_sec839 | rules: sentence:meta:period=1750_1799, node:X:own:Voice=Act, node:N:own:Case=Nom, node:N:own:Definite=Def, node:N:own:Gender=Com, node:N:own:Number=Sing, node:N:own:PronType=Prs, node:N:own:has_child=No, node:CLH:own:VerbForm=Inf, node:CLH:own:Voice=Act, node:CLH:own:upos=VERB, node:CLH:own:rel_shallow=root</t>
  </si>
  <si>
    <t>sent_id: 1750_1799_946_sec839 | rules: sentence:meta:period=1750_1799, node:X:own:Voice=Act,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node:CLH:own:rel_shallow=root</t>
  </si>
  <si>
    <t>sent_id: 1750_1799_1076_sec839 | rules: sentence:meta:period=1750_1799, node:X:own:Voice=Act, node:X:child:Degree={'Pos'},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node:CLH:own:rel_shallow=parataxis</t>
  </si>
  <si>
    <t>sent_id: 1750_1799_1250_sec839 | rules: sentence:meta:period=1750_1799, node:X:own:Voice=Act, node:X:child:Case={'Nom'}, node:X:child:Definite={'Ind'}, node:X:child:Gender={'Com'}, node:X:child:Number={'Sing'}, node:N:own:Case=Nom, node:N:own:Definite=Def, node:N:own:Gender=Com, node:N:own:Number=Sing, node:N:own:PronType=Prs, node:N:own:has_child=No, node:CLH:own:Mood=Imp, node:CLH:own:VerbForm=Fin, node:CLH:own:Voice=Act, node:CLH:own:upos=VERB, node:CLH:own:rel_shallow=conj</t>
  </si>
  <si>
    <t>sent_id: 1750_1799_1250_sec839 | rules: sentence:meta:period=1750_1799, node:X:own:Voice=Act, node:X:child:Case={'Nom'}, node:X:child:Definite={'Def'}, node:X:child:Gender={'Com'}, node:X:child:Number={'Sing'}, node:X:child:PronType={'Prs'}, node:N:own:Case=Nom, node:N:own:Definite=Ind, node:N:own:Gender=Com, node:N:own:Number=Sing, node:N:child:Case={'Nom'}, node:N:child:Definite={'Ind'}, node:N:child:Degree={'Pos'}, node:N:child:Gender={'Com'}, node:N:child:Number={'Sing'}, node:N:child:upos={'ADJ', 'DET'}, node:N:child:rel_shallow={'det', 'amod'}, node:N:child:PronType={'Art'}, node:CLH:own:Mood=Imp, node:CLH:own:VerbForm=Fin, node:CLH:own:Voice=Act, node:CLH:own:upos=VERB, node:CLH:own:rel_shallow=conj</t>
  </si>
  <si>
    <t>sent_id: 1700_1749_53_sec330 | rules: sentence:meta:period=1700_1749, node:X:own:Voice=Act, node:N:own:Case=Nom, node:N:own:Definite=Def, node:N:own:Gender=Com, node:N:own:Number=Sing, node:N:own:PronType=Prs, node:N:own:has_child=No, node:CLH:own:Degree=Cmp, node:CLH:own:upos=ADV, node:CLH:own:rel_shallow=advmod</t>
  </si>
  <si>
    <t>sent_id: 1700_1749_65_sec330 | rules: sentence:meta:period=1700_1749, node:X:own:Voice=Act, node:X:child:Case={'Nom', 'Acc'}, node:X:child:Definite={'Def'}, node:X:child:Gender={'Com'}, node:X:child:Number={'Sing'}, node:X:child:PronType={'Prs'}, node:N:own:Case=Nom, node:N:child:Case={'Nom'}, node:N:child:Definite={'Ind'}, node:N:child:Gender={'Com'}, node:N:child:Number={'Sing'}, node:N:child:upos={'NOUN'}, node:N:child:rel_shallow={'nmod'}, node:CLH:own:VerbForm=Inf, node:CLH:own:Voice=Act, node:CLH:own:upos=VERB, node:CLH:own:rel_shallow=root</t>
  </si>
  <si>
    <t>sent_id: 1700_1749_65_sec330 | rules: sentence:meta:period=1700_1749, node:X:own:Voice=Act, node:X:child:Case={'Nom', 'Acc'}, node:X:child:Definite={'Def'}, node:X:child:Gender={'Com'}, node:X:child:Number={'Sing'}, node:X:child:PronType={'Prs'}, node:N:own:Case=Nom, node:N:own:has_child=No, node:CLH:own:VerbForm=Inf, node:CLH:own:Voice=Act, node:CLH:own:upos=VERB, node:CLH:own:rel_shallow=root</t>
  </si>
  <si>
    <t>sent_id: 1700_1749_81_sec330 | rules: sentence:meta:period=1700_1749, node:X:own:Voice=Act, node:X:child:Case={'Nom'}, node:X:child:Definite={'Ind', 'Def'}, node:X:child:Gender={'Com'}, node:X:child:Number={'Sing'}, node:X:child:PronType={'Prs'}, node:X:child:Degree={'Cmp'}, node:N:own:Case=Nom, node:N:own:Definite=Def, node:N:own:Gender=Com, node:N:own:Number=Sing, node:N:child:Case={'Nom'}, node:N:child:Definite={'Def'}, node:N:child:Degree={'Pos'}, node:N:child:upos={'ADJ', 'PRON'}, node:N:child:rel_shallow={'nmod:poss', 'amod'}, node:N:child:Gender={'Com'}, node:N:child:Number={'Sing'}, node:N:child:Poss={'Yes'}, node:N:child:PronType={'Prs'}, node:CLH:own:VerbForm=Inf, node:CLH:own:Voice=Act, node:CLH:own:upos=VERB, node:CLH:own:rel_shallow=root</t>
  </si>
  <si>
    <t>sent_id: 1700_1749_89_sec330 | rules: sentence:meta:period=1700_1749, node:X:own:Voice=Act, node:X:child:Case={'Acc'}, node:X:child:Definite={'Def'}, node:X:child:PronType={'Prs'}, node:N:child:Case={'Nom'}, node:N:child:Definite={'Def'}, node:N:child:Degree={'Pos'}, node:N:child:upos={'ADJ', 'PRON'}, node:N:child:rel_shallow={'nmod:poss', 'amod'}, node:N:child:Poss={'Yes'}, node:N:child:PronType={'Prs'}, node:CLH:own:VerbForm=Sup, node:CLH:own:Voice=Act, node:CLH:own:upos=VERB, node:CLH:own:rel_shallow=acl</t>
  </si>
  <si>
    <t>sent_id: 1700_1749_175_sec330 | rules: sentence:meta:period=1700_1749, node:X:own:Voice=Act, node:X:child:Case={'Nom', 'Acc'}, node:X:child:Definite={'Ind', 'Def'}, node:X:child:Gender={'Com'}, node:X:child:Number={'Sing'}, node:X:child:PronType={'Rel', 'Prs'}, node:N:own:Case=Nom, node:N:own:Definite=Def, node:N:own:Number=Plur, node:N:own:PronType=Prs, node:N:own:has_child=No, node:CLH:own:Case=Nom, node:CLH:own:Definite=Ind, node:CLH:own:Degree=Pos, node:CLH:own:Gender=Com, node:CLH:own:Number=Sing, node:CLH:own:upos=ADJ, node:CLH:own:rel_shallow=conj</t>
  </si>
  <si>
    <t>sent_id: 1700_1749_798_sec330 | rules: sentence:meta:period=1700_1749, node:X:own:Voice=Act, node:X:child:Case={'Nom'},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node:CLH:own:rel_shallow=dislocated</t>
  </si>
  <si>
    <t>sent_id: 1700_1749_999_sec330 | rules: sentence:meta:period=1700_1749, node:X:own:Voice=Act, node:X:child:Case={'Nom'}, node:X:child:Definite={'Ind'}, node:X:child:Gender={'Com', 'Neut'}, node:X:child:Number={'Sing'}, node:N:own:Case=Nom, node:N:own:Definite=Def, node:N:own:Gender=Com, node:N:own:Number=Sing, node:N:own:PronType=Prs, node:N:own:has_child=No, node:CLH:own:VerbForm=Inf, node:CLH:own:Voice=Act, node:CLH:own:upos=VERB, node:CLH:own:rel_shallow=root</t>
  </si>
  <si>
    <t>sent_id: 1700_1749_1014_sec330 | rules: sentence:meta:period=1700_1749, node:X:own:Voice=Act, node:X:child:Case={'Nom', 'Acc'}, node:X:child:Definite={'Ind', 'Def'}, node:X:child:Gender={'Com'}, node:X:child:Number={'Sing'}, node:X:child:PronType={'Prs'}, node:N:own:Case=Nom, node:N:own:Definite=Def, node:N:own:Gender=Com, node:N:own:Number=Sing, node:N:own:PronType=Prs, node:N:own:has_child=No, node:CLH:own:Mood=Imp, node:CLH:own:VerbForm=Fin, node:CLH:own:Voice=Act, node:CLH:own:upos=VERB, node:CLH:own:rel_shallow=conj</t>
  </si>
  <si>
    <t>sent_id: 1700_1749_1050_sec330 | rules: sentence:meta:period=1700_1749, node:X:own:Voice=Act, node:N:own:Case=Nom, node:N:own:Definite=Def, node:N:own:Gender=Com, node:N:own:Number=Sing, node:N:own:PronType=Prs, node:N:own:has_child=No, node:CLH:own:VerbForm=Inf, node:CLH:own:Voice=Act, node:CLH:own:upos=VERB, node:CLH:own:rel_shallow=root</t>
  </si>
  <si>
    <t>sent_id: 1700_1749_1069_sec330 | rules: sentence:meta:period=1700_1749, node:X:own:Voice=Act,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node:CLH:own:rel_shallow=root</t>
  </si>
  <si>
    <t>sent_id: 1700_1749_1069_sec330 | rules: sentence:meta:period=1700_1749, node:X:own:Voice=Act, node:X:child:Case={'Nom'}, node:X:child:Definite={'Ind'}, node:X:child:Degree={'Pos'}, node:X:child:Gender={'Com'}, node:X:child:Number={'Sing'}, node:N:own:Case=Nom, node:N:own:Definite=Def, node:N:own:Gender=Com, node:N:own:Number=Sing, node:N:own:PronType=Prs, node:N:own:has_child=No, node:CLH:own:VerbForm=Sup, node:CLH:own:Voice=Act, node:CLH:own:upos=VERB, node:CLH:own:rel_shallow=parataxis</t>
  </si>
  <si>
    <t>sent_id: 1700_1749_1175_sec330 | rules: sentence:meta:period=1700_1749, node:X:own:Voice=Act, node:X:child:Case={'Acc'}, node:X:child:Definite={'Def'}, node:X:child:Gender={'Com'}, node:X:child:Number={'Sing'}, node:X:child:PronType={'Prs'}, node:N:own:Definite=Ind, node:N:own:Gender=Neut, node:N:own:Number=Sing, node:N:own:PronType=Ind, node:N:child:upos={'ADV', 'INTJ'}, node:N:child:rel_shallow={'advmod', 'conj', 'nsubj'}, node:CLH:own:VerbForm=Inf, node:CLH:own:Voice=Pass, node:CLH:own:upos=VERB, node:CLH:own:rel_shallow=root</t>
  </si>
  <si>
    <t>sent_id: 1700_1749_1175_sec330 | rules: sentence:meta:period=1700_1749, node:X:own:Voice=Act, node:X:child:Definite={'Ind'}, node:X:child:Gender={'Neut'}, node:X:child:Number={'Sing'}, node:X:child:PronType={'Ind'}, node:N:own:Case=Acc, node:N:own:Definite=Def, node:N:own:Gender=Com, node:N:own:Number=Sing, node:N:own:PronType=Prs, node:N:own:has_child=No, node:CLH:own:VerbForm=Inf, node:CLH:own:Voice=Pass, node:CLH:own:upos=VERB, node:CLH:own:rel_shallow=root</t>
  </si>
  <si>
    <t>sent_id: 1700_1749_1236_sec330 | rules: sentence:meta:period=1700_1749, node:X:own:Voice=Act, node:X:child:Case={'Nom'}, node:X:child:Degree={'Pos'}, node:X:child:Definite={'Ind'}, node:X:child:Gender={'Com'}, node:X:child:Number={'Sing'},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node:CLH:own:rel_shallow=root</t>
  </si>
  <si>
    <t>sent_id: 1700_1749_1302_sec330 | rules: sentence:meta:period=1700_1749, node:X:own:Voice=Act, node:X:child:Definite={'Ind', 'Def'}, node:X:child:Gender={'Com'}, node:X:child:Number={'Sing'}, node:X:child:PronType={'Prs'}, node:X:child:Case={'Acc'}, node:N:own:Definite=Def, node:N:own:Gender=Neut, node:N:own:Number=Sing, node:N:own:PronType=Prs, node:N:own:has_child=No, node:CLH:own:Degree=Pos, node:CLH:own:upos=ADV, node:CLH:own:rel_shallow=advmod</t>
  </si>
  <si>
    <t>sent_id: 1700_1749_1302_sec330 | rules: sentence:meta:period=1700_1749, node:X:own:Voice=Act, node:X:child:Case={'Acc'}, node:X:child:Definite={'Def'}, node:X:child:Gender={'Com', 'Neut'}, node:X:child:Number={'Sing'}, node:X:child:PronType={'Prs'}, node:N:own:Definite=Ind, node:N:own:Gender=Com, node:N:own:Number=Sing, node:N:own:PronType=Prs, node:N:child:upos={'PRON', 'NOUN', 'PROPN'}, node:N:child:rel_shallow={'obl', 'nsubj'}, node:N:child:Case={'Nom'}, node:N:child:Definite={'Def'}, node:N:child:Gender={'Neut'}, node:N:child:Number={'Sing'}, node:N:child:PronType={'Prs'}, node:CLH:own:Degree=Pos, node:CLH:own:upos=ADV, node:CLH:own:rel_shallow=advmod</t>
  </si>
  <si>
    <t>sent_id: 1700_1749_1303_sec330 | rules: sentence:meta:period=1700_1749, node:X:own:Voice=Act, node:X:child:Case={'Nom', 'Acc'}, node:X:child:Definite={'Def'}, node:X:child:Gender={'Com', 'Neut'}, node:X:child:Number={'Sing'}, node:X:child:PronType={'Prs'}, node:N:own:Case=Nom, node:N:own:Definite=Ind, node:N:own:Degree=Pos, node:N:own:Gender=Com, node:N:own:Number=Sing, node:N:child:Definite={'Ind'}, node:N:child:Gender={'Com'}, node:N:child:Number={'Sing'}, node:N:child:PronType={'Ind'}, node:N:child:upos={'DET'}, node:N:child:rel_shallow={'det'}, node:CLH:own:Mood=Ind, node:CLH:own:Tense=Past, node:CLH:own:VerbForm=Fin, node:CLH:own:Voice=Act, node:CLH:own:upos=VERB, node:CLH:own:rel_shallow=conj</t>
  </si>
  <si>
    <t>sent_id: 1700_1749_1303_sec330 | rules: sentence:meta:period=1700_1749, node:X:own:Voice=Act, node:X:child:Case={'Nom'}, node:X:child:Definite={'Ind', 'Def'}, node:X:child:Gender={'Com', 'Neut'}, node:X:child:Number={'Sing'}, node:N:own:Definite=Def, node:N:own:Gender=Neut, node:N:own:Number=Sing, node:N:own:PronType=Prs, node:N:own:has_child=No, node:CLH:own:VerbForm=Inf, node:CLH:own:Voice=Act, node:CLH:own:upos=VERB, node:CLH:own:rel_shallow=conj</t>
  </si>
  <si>
    <t>sent_id: 1700_1749_1338_sec330 | rules: sentence:meta:period=1700_1749, node:X:own:Voice=Act, node:X:child:Definite={'Ind', 'Def'}, node:X:child:Gender={'Com', 'Neut'}, node:X:child:Number={'Sing'}, node:X:child:PronType={'Prs'}, node:X:child:Case={'Nom', 'Acc'}, node:N:own:Definite=Def, node:N:own:Gender=Neut, node:N:own:Number=Sing, node:N:own:PronType=Prs, node:N:own:has_child=No, node:CLH:own:VerbForm=Inf, node:CLH:own:Voice=Act, node:CLH:own:upos=VERB, node:CLH:own:rel_shallow=acl:relcl</t>
  </si>
  <si>
    <t>sent_id: 1700_1749_1380_sec330 | rules: sentence:meta:period=1700_1749, node:X:own:Voice=Act, node:X:child:Case={'Nom'}, node:X:child:Definite={'Ind'}, node:X:child:Degree={'Pos'}, node:X:child:Gender={'Neut'}, node:X:child:Number={'Sing'}, node:N:own:Case=Nom, node:N:own:has_child=No, node:CLH:own:Case=Nom, node:CLH:own:Definite=Ind, node:CLH:own:Degree=Pos, node:CLH:own:Gender=Neut, node:CLH:own:Number=Sing, node:CLH:own:upos=ADJ, node:CLH:own:rel_shallow=conj</t>
  </si>
  <si>
    <t>sent_id: 1700_1749_1382_sec330 | rules: sentence:meta:period=1700_1749, node:X:own:Voice=Act, node:N:own:Case=Nom, node:N:own:Definite=Def, node:N:own:Gender=Com, node:N:own:Number=Sing, node:N:own:PronType=Prs, node:N:own:has_child=No, node:CLH:own:Mood=Imp, node:CLH:own:VerbForm=Fin, node:CLH:own:Voice=Act, node:CLH:own:upos=VERB, node:CLH:own:rel_shallow=root</t>
  </si>
  <si>
    <t>sent_id: 1700_1749_1479_sec330 | rules: sentence:meta:period=1700_1749, node:X:own:Voice=Act, node:X:child:Case={'Acc'}, node:X:child:Definite={'Def'}, node:X:child:Gender={'Com'}, node:X:child:Number={'Sing'}, node:X:child:PronType={'Prs'}, node:N:own:Case=Nom, node:N:own:has_child=No, node:CLH:own:Mood=Ind, node:CLH:own:Tense=Pres, node:CLH:own:VerbForm=Fin, node:CLH:own:Voice=Act, node:CLH:own:upos=VERB, node:CLH:own:rel_shallow=root</t>
  </si>
  <si>
    <t>sent_id: 1700_1749_1523_sec330 | rules: sentence:meta:period=1700_1749, node:X:own:Voice=Act, node:X:child:Case={'Nom'}, node:X:child:Definite={'Ind'}, node:X:child:Degree={'Pos'}, node:X:child:Gender={'Neut'}, node:X:child:Number={'Sing'},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node:CLH:own:rel_shallow=root</t>
  </si>
  <si>
    <t>sent_id: 1700_1749_1824_sec330 | rules: sentence:meta:period=1700_1749, node:X:own:Voice=Act, node:X:child:Case={'Nom', 'Acc'}, node:X:child:Definite={'Ind', 'Def'}, node:X:child:Gender={'Com'}, node:X:child:Number={'Sing'}, node:X:child:Degree={'Pos'}, node:X:child:PronType={'Prs'},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node:CLH:own:rel_shallow=parataxis</t>
  </si>
  <si>
    <t>sent_id: 1700_1749_41_letter141673 | rules: sentence:meta:period=1700_1749, node:X:own:Voice=Act, node:X:child:Case={'Nom'}, node:X:child:Definite={'Def'}, node:X:child:Gender={'Com'}, node:X:child:Number={'Sing'}, node:N:own:Case=Nom, node:N:own:Definite=Def, node:N:own:Gender=Com, node:N:own:Number=Sing, node:N:own:PronType=Prs, node:N:own:has_child=No, node:CLH:own:VerbForm=Sup, node:CLH:own:Voice=Act, node:CLH:own:upos=VERB, node:CLH:own:rel_shallow=root</t>
  </si>
  <si>
    <t>sent_id: 1700_1749_130_letter141673 | rules: sentence:meta:period=1700_1749, node:X:own:Voice=Act, node:X:child:Case={'Nom'}, node:X:child:Definite={'Ind', 'Def'}, node:X:child:Gender={'Com'}, node:X:child:Number={'Sing', 'Plur'}, node:X:child:Degree={'Pos'}, node:X:child:PronType={'Prs'}, node:N:own:Case=Nom, node:N:own:has_child=No, node:CLH:own:VerbForm=Inf, node:CLH:own:Voice=Act, node:CLH:own:upos=VERB, node:CLH:own:rel_shallow=xcomp</t>
  </si>
  <si>
    <t>sent_id: 1700_1749_130_letter141673 | rules: sentence:meta:period=1700_1749, node:X:own:Voice=Act, node:X:child:Case={'Nom'}, node:X:child:Definite={'Ind', 'Def'}, node:X:child:Gender={'Com'}, node:X:child:Number={'Sing', 'Plur'}, node:X:child:Degree={'Pos'}, node:N:own:Definite=Def, node:N:own:Gender=Com, node:N:own:Number=Sing, node:N:own:PronType=Prs, node:N:own:has_child=No, node:CLH:own:VerbForm=Inf, node:CLH:own:Voice=Act, node:CLH:own:upos=VERB, node:CLH:own:rel_shallow=xcomp</t>
  </si>
  <si>
    <t>sent_id: 1700_1749_222_letter141673 | rules: sentence:meta:period=1700_1749, node:X:own:Voice=Act, node:N:own:Definite=Def, node:N:own:Number=Plur, node:N:own:Poss=Yes, node:N:own:PronType=Prs, node:N:child:Definite={'Def'}, node:N:child:Number={'Plur'}, node:N:child:PronType={'Art'}, node:N:child:upos={'DET'}, node:N:child:rel_shallow={'det'}, node:CLH:own:Mood=Ind, node:CLH:own:Tense=Pres, node:CLH:own:VerbForm=Fin, node:CLH:own:Voice=Pass, node:CLH:own:upos=VERB, node:CLH:own:rel_shallow=root</t>
  </si>
  <si>
    <t>sent_id: 1700_1749_228_letter141673 | rules: sentence:meta:period=1700_1749, node:X:own:Voice=Act, node:X:child:Case={'Nom'}, node:X:child:Definite={'Def'}, node:X:child:Gender={'Com'}, node:X:child:Number={'Sing'}, node:N:own:Case=Acc, node:N:own:Definite=Def, node:N:own:Gender=Com, node:N:own:Number=Sing, node:N:own:PronType=Prs, node:N:own:has_child=No, node:CLH:own:VerbForm=Inf, node:CLH:own:Voice=Act, node:CLH:own:upos=VERB, node:CLH:own:rel_shallow=xcomp</t>
  </si>
  <si>
    <t>sent_id: 1700_1749_338_letter141673 | rules: sentence:meta:period=1700_1749, node:X:own:Voice=Act, node:N:own:Case=Nom, node:N:own:Definite=Def, node:N:own:Gender=Com, node:N:own:Number=Sing, node:N:own:PronType=Prs, node:N:own:has_child=No, node:CLH:own:VerbForm=Inf, node:CLH:own:Voice=Act, node:CLH:own:upos=VERB, node:CLH:own:rel_shallow=conj</t>
  </si>
  <si>
    <t>sent_id: 1700_1749_339_letter141673 | rules: sentence:meta:period=1700_1749, node:X:own:Voice=Act, node:X:child:Case={'Nom'}, node:X:child:Definite={'Ind', 'Def'}, node:X:child:Gender={'Com', 'Neut'}, node:X:child:Number={'Sing'}, node:X:child:PronType={'Dem'},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node:CLH:own:rel_shallow=root</t>
  </si>
  <si>
    <t>sent_id: 1700_1749_339_letter141673 | rules: sentence:meta:period=1700_1749, node:X:own:Voice=Act, node:X:child:Case={'Nom'}, node:X:child:Definite={'Ind', 'Def'}, node:X:child:Gender={'Neut'}, node:X:child:Number={'Sing'},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node:CLH:own:rel_shallow=acl:relcl</t>
  </si>
  <si>
    <t>sent_id: 1700_1749_377_letter141673 | rules: sentence:meta:period=1700_1749, node:X:own:Voice=Act, node:N:own:Case=Nom, node:N:own:Definite=Ind, node:N:own:Gender=Com, node:N:own:Number=Sing, node:N:child:Definite={'Ind'}, node:N:child:Gender={'Com'}, node:N:child:Number={'Sing'}, node:N:child:PronType={'Neg'}, node:N:child:upos={'DET'}, node:N:child:rel_shallow={'det'}, node:CLH:own:Mood=Ind, node:CLH:own:Tense=Past, node:CLH:own:VerbForm=Fin, node:CLH:own:Voice=Act, node:CLH:own:upos=VERB, node:CLH:own:rel_shallow=root</t>
  </si>
  <si>
    <t>sent_id: 1700_1749_404_letter141673 | rules: sentence:meta:period=1700_1749, node:X:own:Voice=Act, node:X:child:Case={'Nom'}, node:X:child:Definite={'Ind'}, node:X:child:Gender={'Com'}, node:X:child:Number={'Sing'}, node:N:own:Case=Nom, node:N:own:Definite=Ind, node:N:own:Gender=Com, node:N:own:Number=Sing, node:N:own:has_child=No, node:CLH:own:Mood=Ind, node:CLH:own:Tense=Pres, node:CLH:own:VerbForm=Fin, node:CLH:own:Voice=Act, node:CLH:own:upos=VERB, node:CLH:own:rel_shallow=xcomp</t>
  </si>
  <si>
    <t>sent_id: 1700_1749_465_letter141673 | rules: sentence:meta:period=1700_1749, node:X:own:Voice=Act, node:X:child:Polarity={'Neg'}, node:N:own:Case=Nom, node:N:own:Definite=Ind, node:N:own:Gender=Com, node:N:own:Number=Sing, node:N:child:Definite={'Ind'}, node:N:child:Gender={'Com'}, node:N:child:Number={'Sing'}, node:N:child:PronType={'Neg'}, node:N:child:upos={'DET'}, node:N:child:rel_shallow={'det'}, node:CLH:own:VerbForm=Inf, node:CLH:own:Voice=Act, node:CLH:own:upos=VERB, node:CLH:own:rel_shallow=root</t>
  </si>
  <si>
    <t>sent_id: 1700_1749_509_letter141673 | rules: sentence:meta:period=1700_1749, node:X:own:Voice=Act, node:X:child:Degree={'Pos'}, node:X:child:Case={'Nom'}, node:X:child:Definite={'Ind'}, node:X:child:Gender={'Com'}, node:X:child:Number={'Plur'}, node:N:own:Case=Nom, node:N:own:Definite=Def, node:N:own:Gender=Com, node:N:own:Number=Plur, node:N:own:PronType=Prs, node:N:own:has_child=No, node:CLH:own:VerbForm=Sup, node:CLH:own:Voice=Act, node:CLH:own:upos=VERB, node:CLH:own:rel_shallow=conj</t>
  </si>
  <si>
    <t>sent_id: 1700_1749_525_letter141673 | rules: sentence:meta:period=1700_1749, node:X:own:Voice=Act, node:X:child:Case={'Nom'}, node:X:child:Definite={'Ind', 'Def'}, node:X:child:Gender={'Com', 'Neut'}, node:X:child:Number={'Sing'}, node:X:child:Degree={'Pos'}, node:N:own:Case=Nom, node:N:own:Definite=Ind, node:N:own:Gender=Com, node:N:own:Number=Sing, node:N:own:has_child=No, node:CLH:own:Mood=Ind, node:CLH:own:Tense=Pres, node:CLH:own:VerbForm=Fin, node:CLH:own:Voice=Act, node:CLH:own:upos=VERB, node:CLH:own:rel_shallow=root</t>
  </si>
  <si>
    <t>sent_id: 1700_1749_525_letter141673 | rules: sentence:meta:period=1700_1749, node:X:own:Voice=Act, node:X:child:Case={'Nom'}, node:X:child:Definite={'Ind', 'Def'}, node:X:child:Gender={'Com'}, node:X:child:Number={'Sing'}, node:N:own:Case=Nom, node:N:own:Definite=Ind, node:N:own:Degree=Pos, node:N:own:Gender=Neut, node:N:own:Number=Sing, node:N:own:has_child=No, node:CLH:own:Mood=Ind, node:CLH:own:Tense=Pres, node:CLH:own:VerbForm=Fin, node:CLH:own:Voice=Act, node:CLH:own:upos=VERB, node:CLH:own:rel_shallow=root</t>
  </si>
  <si>
    <t>sent_id: 1700_1749_559_letter141673 | rules: sentence:meta:period=1700_1749, node:X:own:Voice=Act, node:X:child:Case={'Nom'}, node:X:child:Definite={'Def'}, node:X:child:Gender={'Com'}, node:X:child:Number={'Plur'}, node:N:own:Case=Nom, node:N:own:Definite=Ind, node:N:own:Gender=Com, node:N:own:Number=Sing, node:N:child:Definite={'Def'}, node:N:child:Gender={'Com'}, node:N:child:Number={'Sing'}, node:N:child:Poss={'Yes'}, node:N:child:PronType={'Prs'}, node:N:child:upos={'PRON', 'NOUN'}, node:N:child:rel_shallow={'nmod:poss'}, node:N:child:Case={'Gen'}, node:CLH:own:Mood=Ind, node:CLH:own:Tense=Pres, node:CLH:own:VerbForm=Fin, node:CLH:own:Voice=Act, node:CLH:own:upos=VERB, node:CLH:own:rel_shallow=root</t>
  </si>
  <si>
    <t>sent_id: 1700_1749_611_letter141673 | rules: sentence:meta:period=1700_1749, node:X:own:Voice=Act, node:X:child:Definite={'Ind'}, node:X:child:Gender={'Com'}, node:X:child:Number={'Sing'}, node:X:child:PronType={'Tot'}, node:N:own:Case=Nom, node:N:own:Definite=Def, node:N:own:Gender=Com, node:N:own:Number=Sing, node:N:own:PronType=Prs, node:N:own:has_child=No, node:CLH:own:VerbForm=Inf, node:CLH:own:Voice=Act, node:CLH:own:upos=VERB, node:CLH:own:rel_shallow=root</t>
  </si>
  <si>
    <t>sent_id: 1700_1749_807_letter141673 | rules: sentence:meta:period=1700_1749, node:X:own:Voice=Act, node:X:child:Case={'Nom'}, node:X:child:Definite={'Ind'}, node:X:child:Gender={'Com'}, node:X:child:Number={'Sing'}, node:N:own:Case=Nom, node:N:own:Definite=Ind, node:N:own:Gender=Neut, node:N:own:Number=Plur, node:N:child:Definite={'Def'}, node:N:child:Number={'Plur'}, node:N:child:Poss={'Yes'}, node:N:child:PronType={'Prs'}, node:N:child:upos={'PRON'}, node:N:child:rel_shallow={'nmod:poss'}, node:CLH:own:VerbForm=Sup, node:CLH:own:Voice=Act, node:CLH:own:upos=VERB, node:CLH:own:rel_shallow=conj</t>
  </si>
  <si>
    <t>sent_id: 1700_1749_807_letter141673 | rules: sentence:meta:period=1700_1749, node:X:own:Voice=Act, node:N:own:Case=Nom, node:N:own:Definite=Def, node:N:own:Number=Plur, node:N:own:PronType=Prs, node:N:own:has_child=No, node:CLH:own:Case=Nom, node:CLH:own:Definite=Ind, node:CLH:own:Degree=Pos, node:CLH:own:Number=Plur, node:CLH:own:upos=ADJ, node:CLH:own:rel_shallow=acl:relcl</t>
  </si>
  <si>
    <t>sent_id: 1700_1749_820_letter141673 | rules: sentence:meta:period=1700_1749, node:X:own:Voice=Act, node:X:child:Abbr={'Yes'}, node:N:own:Case=Nom, node:N:own:Definite=Ind, node:N:own:Gender=Com, node:N:own:Number=Sing, node:N:child:Case={'Nom'}, node:N:child:Definite={'Ind', 'Def'}, node:N:child:Gender={'Com'}, node:N:child:Number={'Sing'}, node:N:child:upos={'NOUN'}, node:N:child:rel_shallow={'nmod'}, node:CLH:own:Mood=Ind, node:CLH:own:Tense=Pres, node:CLH:own:VerbForm=Fin, node:CLH:own:Voice=Act, node:CLH:own:upos=VERB, node:CLH:own:rel_shallow=root</t>
  </si>
  <si>
    <t>sent_id: 1700_1749_821_letter141673 | rules: sentence:meta:period=1700_1749, node:X:own:Voice=Act, node:X:child:Case={'Nom'}, node:X:child:Definite={'Ind'}, node:X:child:Gender={'Com', 'Neut'}, node:X:child:Number={'Sing', 'Plur'}, node:N:own:Case=Nom, node:N:own:Definite=Def, node:N:own:Gender=Com, node:N:own:Number=Sing, node:N:own:PronType=Prs, node:N:own:has_child=No, node:CLH:own:Mood=Ind, node:CLH:own:Tense=Pres, node:CLH:own:VerbForm=Fin, node:CLH:own:upos=VERB, node:CLH:own:rel_shallow=root</t>
  </si>
  <si>
    <t>sent_id: 1700_1749_821_letter141673 | rules: sentence:meta:period=1700_1749, node:X:own:Voice=Act, node:X:child:Case={'Nom'}, node:X:child:Definite={'Ind', 'Def'}, node:X:child:Gender={'Com', 'Neut'}, node:X:child:Number={'Sing', 'Plur'}, node:X:child:PronType={'Prs'}, node:N:own:Case=Nom, node:N:own:Definite=Ind, node:N:own:Gender=Neut, node:N:own:Number=Sing, node:N:child:Abbr={'Yes'}, node:N:child:upos={'ADJ', 'PRON'}, node:N:child:rel_shallow={'nmod:poss', 'amod'}, node:N:child:Definite={'Def'}, node:N:child:Gender={'Neut'}, node:N:child:Number={'Sing'}, node:N:child:Poss={'Yes'}, node:N:child:PronType={'Prs'}, node:CLH:own:Mood=Ind, node:CLH:own:Tense=Pres, node:CLH:own:VerbForm=Fin, node:CLH:own:upos=VERB, node:CLH:own:rel_shallow=root</t>
  </si>
  <si>
    <t>sent_id: 1700_1749_823_letter141673 | rules: sentence:meta:period=1700_1749, node:X:own:Voice=Act, node:N:own:Case=Nom, node:N:own:Definite=Def, node:N:own:Gender=Com, node:N:own:Number=Sing, node:N:own:PronType=Prs, node:N:own:has_child=No, node:CLH:own:Case=Nom, node:CLH:own:Definite=Ind, node:CLH:own:Gender=Com, node:CLH:own:Number=Sing, node:CLH:own:upos=NOUN, node:CLH:own:rel_shallow=conj</t>
  </si>
  <si>
    <t>sent_id: 1700_1749_832_letter141673 | rules: sentence:meta:period=1700_1749, node:X:own:Voice=Act, node:X:child:Case={'Nom'}, node:X:child:Definite={'Ind', 'Def'}, node:X:child:Gender={'Com'}, node:X:child:Number={'Sing'}, node:X:child:Degree={'Pos'}, node:N:own:Case=Nom, node:N:own:Definite=Def, node:N:own:Gender=Com, node:N:own:Number=Sing, node:N:own:PronType=Prs, node:N:own:has_child=No, node:CLH:own:VerbForm=Inf, node:CLH:own:Voice=Act, node:CLH:own:upos=VERB, node:CLH:own:rel_shallow=xcomp</t>
  </si>
  <si>
    <t>sent_id: 1700_1749_884_letter141673 | rules: sentence:meta:period=1700_1749, node:X:own:Voice=Act, node:X:child:Case={'Nom'}, node:X:child:Definite={'Ind'}, node:X:child:Gender={'Neut'}, node:X:child:Number={'Sing'}, node:N:own:Case=Nom, node:N:own:Definite=Def, node:N:own:Gender=Com, node:N:own:Number=Sing, node:N:own:PronType=Prs, node:N:own:has_child=No, node:CLH:own:Mood=Ind, node:CLH:own:Tense=Pres, node:CLH:own:VerbForm=Fin, node:CLH:own:upos=VERB, node:CLH:own:rel_shallow=root</t>
  </si>
  <si>
    <t>sent_id: 1700_1749_885_letter141673 | rules: sentence:meta:period=1700_1749, node:X:own:Voice=Act, node:X:child:Case={'Nom'}, node:X:child:Definite={'Ind'}, node:X:child:Gender={'Com'}, node:X:child:Number={'Sing'}, node:N:own:Case=Nom, node:N:own:Definite=Def, node:N:own:Gender=Com, node:N:own:Number=Sing, node:N:own:has_child=No, node:CLH:own:VerbForm=Sup, node:CLH:own:Voice=Act, node:CLH:own:upos=VERB, node:CLH:own:rel_shallow=root</t>
  </si>
  <si>
    <t>sent_id: 1700_1749_930_letter141673 | rules: sentence:meta:period=1700_1749, node:X:own:Voice=Act, node:X:child:Definite={'Def'}, node:X:child:Gender={'Neut'}, node:X:child:Number={'Sing'}, node:X:child:PronType={'Prs'}, node:N:own:Case=Nom, node:N:own:Definite=Def, node:N:own:Gender=Com, node:N:own:Number=Sing, node:N:own:PronType=Prs, node:N:own:has_child=No, node:CLH:own:Case=Nom, node:CLH:own:Definite=Ind, node:CLH:own:Gender=Com, node:CLH:own:Number=Sing, node:CLH:own:upos=NOUN, node:CLH:own:rel_shallow=root</t>
  </si>
  <si>
    <t>sent_id: 1700_1749_985_letter141673 | rules: sentence:meta:period=1700_1749, node:X:own:Voice=Act, node:X:child:Polarity={'Neg'}, node:N:own:Case=Nom, node:N:own:Definite=Def, node:N:own:Gender=Com, node:N:own:Number=Sing, node:N:own:PronType=Prs, node:N:own:has_child=No, node:CLH:own:VerbForm=Inf, node:CLH:own:Voice=Act, node:CLH:own:upos=VERB, node:CLH:own:rel_shallow=root</t>
  </si>
  <si>
    <t>sent_id: 1700_1749_991_letter141673 | rules: sentence:meta:period=1700_1749, node:X:own:Voice=Act, node:N:own:Case=Nom, node:N:own:Definite=Ind, node:N:own:Gender=Com, node:N:own:Number=Sing, node:N:own:has_child=No, node:CLH:own:Mood=Ind, node:CLH:own:Tense=Pres, node:CLH:own:VerbForm=Fin, node:CLH:own:Voice=Act, node:CLH:own:upos=VERB, node:CLH:own:rel_shallow=conj</t>
  </si>
  <si>
    <t>sent_id: 1700_1749_1036_letter141673 | rules: sentence:meta:period=1700_1749, node:X:own:Voice=Act, node:X:child:Case={'Nom'}, node:X:child:Definite={'Ind', 'Def'}, node:X:child:Gender={'Com'}, node:X:child:Number={'Sing', 'Plur'}, node:X:child:PronType={'Int'}, node:N:own:PronType=Rel, node:N:own:has_child=No, node:CLH:own:VerbForm=Inf, node:CLH:own:Voice=Act, node:CLH:own:upos=VERB, node:CLH:own:rel_shallow=parataxis</t>
  </si>
  <si>
    <t>sent_id: 1700_1749_1053_letter141673 | rules: sentence:meta:period=1700_1749, node:X:own:Voice=Act, node:X:child:Case={'Acc'}, node:X:child:Definite={'Def'}, node:X:child:Gender={'Com'}, node:X:child:Number={'Sing'}, node:X:child:PronType={'Prs'}, node:N:own:has_child=No, node:CLH:own:Mood=Ind, node:CLH:own:Tense=Pres, node:CLH:own:VerbForm=Fin, node:CLH:own:Voice=Act, node:CLH:own:upos=VERB, node:CLH:own:rel_shallow=advcl</t>
  </si>
  <si>
    <t>sent_id: 1700_1749_1081_letter141673 | rules: sentence:meta:period=1700_1749, node:X:own:Voice=Act, node:X:child:Case={'Nom'}, node:X:child:Definite={'Ind'}, node:X:child:Gender={'Neut'}, node:X:child:Number={'Sing'}, node:N:own:Case=Nom, node:N:own:Definite=Def, node:N:own:Gender=Com, node:N:own:Number=Sing, node:N:own:PronType=Prs, node:N:own:has_child=No, node:CLH:own:Mood=Imp, node:CLH:own:VerbForm=Fin, node:CLH:own:Voice=Act, node:CLH:own:upos=VERB, node:CLH:own:rel_shallow=conj</t>
  </si>
  <si>
    <t>sent_id: 1700_1749_1110_letter141673 | rules: sentence:meta:period=1700_1749, node:X:own:Voice=Act, node:X:child:Case={'Nom'}, node:X:child:Definite={'Ind'}, node:X:child:Degree={'Pos'}, node:X:child:Gender={'Neut'}, node:X:child:Number={'Sing'}, node:N:own:Case=Nom, node:N:child:Case={'Nom'}, node:N:child:Definite={'Ind'}, node:N:child:Gender={'Neut'}, node:N:child:Number={'Sing'}, node:N:child:upos={'NOUN'}, node:N:child:rel_shallow={'nmod', 'flat:name'}, node:N:child:Abbr={'Yes'}, node:CLH:own:VerbForm=Sup, node:CLH:own:Voice=Act, node:CLH:own:upos=VERB, node:CLH:own:rel_shallow=root</t>
  </si>
  <si>
    <t>sent_id: 1700_1749_1186_letter141673 | rules: sentence:meta:period=1700_1749, node:X:own:Voice=Act, node:X:child:Case={'Acc'}, node:X:child:Definite={'Def'}, node:X:child:Gender={'Com'}, node:X:child:Number={'Sing'}, node:X:child:PronType={'Prs'}, node:N:own:has_child=No, node:CLH:own:VerbForm=Sup, node:CLH:own:Voice=Act, node:CLH:own:upos=VERB, node:CLH:own:rel_shallow=root</t>
  </si>
  <si>
    <t>sent_id: 1700_1749_1225_letter141673 | rules: sentence:meta:period=1700_1749, node:X:own:Voice=Act, node:X:child:Case={'Nom'}, node:X:child:Definite={'Ind'}, node:X:child:Gender={'Com'}, node:X:child:Number={'Sing'},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node:CLH:own:rel_shallow=root</t>
  </si>
  <si>
    <t>sent_id: 1700_1749_1253_letter141673 | rules: sentence:meta:period=1700_1749, node:X:own:Voice=Act,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node:CLH:own:rel_shallow=root</t>
  </si>
  <si>
    <t>sent_id: 1700_1749_1278_letter141673 | rules: sentence:meta:period=1700_1749, node:X:own:Voice=Act, node:X:child:Case={'Nom'}, node:X:child:Definite={'Ind', 'Def'}, node:X:child:Gender={'Com'}, node:X:child:Number={'Sing', 'Plur'}, node:N:own:Case=Nom, node:N:own:Definite=Def, node:N:own:Number=Plur, node:N:own:PronType=Prs, node:N:own:has_child=No, node:CLH:own:VerbForm=Inf, node:CLH:own:Voice=Act, node:CLH:own:upos=VERB, node:CLH:own:rel_shallow=ccomp</t>
  </si>
  <si>
    <t>sent_id: 1700_1749_1306_letter141673 | rules: sentence:meta:period=1700_1749, node:X:own:Voice=Act, node:X:child:Case={'Nom'}, node:X:child:Definite={'Ind'}, node:X:child:Degree={'Pos'}, node:X:child:Gender={'Neut'}, node:X:child:Number={'Sing'}, node:X:child:NumType={'Card'}, node:N:own:Case=Nom, node:N:own:Definite=Def, node:N:own:Gender=Com, node:N:own:Number=Sing, node:N:own:PronType=Prs, node:N:own:has_child=No, node:CLH:own:Case=Nom, node:CLH:own:Definite=Ind, node:CLH:own:Degree=Pos, node:CLH:own:Gender=Neut, node:CLH:own:Number=Sing, node:CLH:own:upos=ADJ, node:CLH:own:rel_shallow=advmod</t>
  </si>
  <si>
    <t>sent_id: 1700_1749_1308_letter141673 | rules: sentence:meta:period=1700_1749, node:X:own:Voice=Act, node:X:child:Case={'Nom'}, node:X:child:Definite={'Ind'}, node:X:child:Gender={'Com'}, node:X:child:Number={'Sing'}, node:N:own:Case=Nom, node:N:own:Definite=Def, node:N:own:Gender=Com, node:N:own:Number=Sing, node:N:own:PronType=Prs, node:N:own:has_child=No, node:CLH:own:upos=INTJ, node:CLH:own:rel_shallow=conj</t>
  </si>
  <si>
    <t>sent_id: 1700_1749_1399_letter141673 | rules: sentence:meta:period=1700_1749, node:X:own:Voice=Act, node:X:child:Case={'Nom', 'Acc'}, node:X:child:Definite={'Def'}, node:X:child:PronType={'Prs'}, node:X:child:Degree={'Pos'}, node:N:own:Case=Nom, node:N:child:Abbr={'Yes'}, node:N:child:upos={'ADV', 'ADP', 'NOUN', 'PROPN'}, node:N:child:rel_shallow={'case', 'nmod', 'flat:name', 'conj'}, node:N:child:Case={'Nom'}, node:N:child:Definite={'Def'}, node:N:child:Gender={'Com'}, node:N:child:Number={'Sing'}, node:CLH:own:Mood=Ind, node:CLH:own:Tense=Pres, node:CLH:own:VerbForm=Fin, node:CLH:own:Voice=Act, node:CLH:own:upos=VERB, node:CLH:own:rel_shallow=parataxis</t>
  </si>
  <si>
    <t>sent_id: 1700_1749_1407_letter141673 | rules: sentence:meta:period=1700_1749, node:X:own:Voice=Act, node:X:child:Case={'Nom'}, node:X:child:Definite={'Def'}, node:X:child:Gender={'Com'}, node:X:child:Number={'Sing', 'Plur'}, node:X:child:PronType={'Prs'}, node:X:child:Degree={'Pos'}, node:N:own:Case=Nom, node:N:own:Definite=Ind, node:N:own:Gender=Neut, node:N:own:Number=Plur, node:N:child:Case={'Nom'}, node:N:child:Definite={'Def'}, node:N:child:Degree={'Pos'}, node:N:child:upos={'ADJ', 'DET'}, node:N:child:rel_shallow={'det', 'amod'}, node:N:child:Number={'Plur'}, node:N:child:PronType={'Art'}, node:CLH:own:VerbForm=Inf, node:CLH:own:Voice=Act, node:CLH:own:upos=VERB, node:CLH:own:rel_shallow=csubj</t>
  </si>
  <si>
    <t>sent_id: 1700_1749_1407_letter141673 | rules: sentence:meta:period=1700_1749, node:X:own:Voice=Act, node:X:child:Case={'Nom'}, node:X:child:Definite={'Ind', 'Def'}, node:X:child:Gender={'Com', 'Neut'}, node:X:child:Number={'Sing', 'Plur'}, node:X:child:Degree={'Pos'}, node:N:own:Case=Nom, node:N:own:Definite=Def, node:N:own:Number=Plur, node:N:own:PronType=Prs, node:N:own:has_child=No, node:CLH:own:VerbForm=Inf, node:CLH:own:Voice=Act, node:CLH:own:upos=VERB, node:CLH:own:rel_shallow=csubj</t>
  </si>
  <si>
    <t>sent_id: 1700_1749_1407_letter141673 | rules: sentence:meta:period=1700_1749, node:X:own:Voice=Act, node:X:child:Case={'Nom'}, node:X:child:Definite={'Ind', 'Def'}, node:X:child:Number={'Plur'}, node:X:child:PronType={'Prs'}, node:X:child:Degree={'Pos'}, node:X:child:Gender={'Neut'}, node:N:own:Case=Nom, node:N:own:Definite=Def, node:N:own:Gender=Com, node:N:own:Number=Sing, node:N:own:has_child=No, node:CLH:own:VerbForm=Inf, node:CLH:own:Voice=Act, node:CLH:own:upos=VERB, node:CLH:own:rel_shallow=csubj</t>
  </si>
  <si>
    <t>sent_id: 1700_1749_1496_letter141673 | rules: sentence:meta:period=1700_1749, node:X:own:Voice=Act, node:X:child:Case={'Nom'}, node:X:child:Definite={'Ind'}, node:X:child:Gender={'Neut'}, node:X:child:Number={'Sing'}, node:N:own:Case=Nom, node:N:own:Definite=Def, node:N:own:Gender=Com, node:N:own:Number=Sing, node:N:child:Case={'Nom'}, node:N:child:Definite={'Ind'}, node:N:child:Gender={'Com'}, node:N:child:Number={'Sing'}, node:N:child:upos={'NOUN'}, node:N:child:rel_shallow={'nmod'}, node:CLH:own:Mood=Ind, node:CLH:own:Tense=Pres, node:CLH:own:VerbForm=Fin, node:CLH:own:Voice=Act, node:CLH:own:upos=VERB, node:CLH:own:rel_shallow=advcl</t>
  </si>
  <si>
    <t>sent_id: 1700_1749_1505_letter141673 | rules: sentence:meta:period=1700_1749, node:X:own:Voice=Act, node:X:child:Case={'Nom'}, node:X:child:Definite={'Ind'}, node:X:child:Gender={'Neut'}, node:X:child:Number={'Sing'}, node:N:own:Case=Nom, node:N:own:Definite=Def, node:N:own:Gender=Neut, node:N:own:Number=Sing, node:N:child:Case={'Nom'}, node:N:child:Definite={'Ind'}, node:N:child:Gender={'Com'}, node:N:child:Number={'Sing'}, node:N:child:upos={'NOUN'}, node:N:child:rel_shallow={'nmod'}, node:CLH:own:VerbForm=Inf, node:CLH:own:Voice=Act, node:CLH:own:upos=VERB, node:CLH:own:rel_shallow=root</t>
  </si>
  <si>
    <t>sent_id: 1700_1749_1505_letter141673 | rules: sentence:meta:period=1700_1749, node:X:own:Voice=Act, node:X:child:Case={'Nom'}, node:X:child:Definite={'Def'}, node:X:child:Gender={'Neut'}, node:X:child:Number={'Sing'}, node:N:own:Case=Nom, node:N:own:Definite=Ind, node:N:own:Gender=Neut, node:N:own:Number=Sing, node:N:child:Case={'Nom'}, node:N:child:Definite={'Ind'}, node:N:child:Degree={'Pos'}, node:N:child:Gender={'Neut'}, node:N:child:Number={'Sing'}, node:N:child:upos={'ADJ', 'NOUN'}, node:N:child:rel_shallow={'nmod', 'acl:relcl'}, node:N:child:Abbr={'Yes'}, node:CLH:own:VerbForm=Inf, node:CLH:own:Voice=Act, node:CLH:own:upos=VERB, node:CLH:own:rel_shallow=root</t>
  </si>
  <si>
    <t>sent_id: 1700_1749_1509_letter141673 | rules: sentence:meta:period=1700_1749, node:X:own:Voice=Act, node:X:child:Case={'Nom', 'Acc'}, node:X:child:Definite={'Ind', 'Def'}, node:X:child:Gender={'Com'}, node:X:child:Number={'Sing'}, node:X:child:PronType={'Prs'}, node:N:own:Case=Nom, node:N:own:Definite=Def, node:N:own:Gender=Neut, node:N:own:Number=Sing, node:N:own:has_child=No, node:CLH:own:Case=Nom, node:CLH:own:Definite=Ind, node:CLH:own:Degree=Pos, node:CLH:own:Gender=Neut, node:CLH:own:Number=Sing, node:CLH:own:upos=ADJ, node:CLH:own:rel_shallow=parataxis</t>
  </si>
  <si>
    <t>sent_id: 1700_1749_1548_letter141673 | rules: sentence:meta:period=1700_1749, node:X:own:Voice=Act, node:X:child:Definite={'Def'}, node:X:child:Gender={'Com', 'Neut'}, node:X:child:Number={'Sing'}, node:X:child:PronType={'Prs'}, node:X:child:Case={'Acc'}, node:N:own:Case=Nom, node:N:own:Definite=Def, node:N:own:Gender=Com, node:N:own:Number=Sing, node:N:own:PronType=Prs, node:N:own:has_child=No, node:CLH:own:Case=Nom, node:CLH:own:Definite=Ind, node:CLH:own:Degree=Pos, node:CLH:own:Gender=Neut, node:CLH:own:Number=Sing, node:CLH:own:upos=ADJ, node:CLH:own:rel_shallow=root</t>
  </si>
  <si>
    <t>sent_id: 1700_1749_1605_letter141673 | rules: sentence:meta:period=1700_1749, node:X:own:Voice=Act, node:X:child:Case={'Nom'}, node:X:child:Definite={'Def'}, node:X:child:Gender={'Com'}, node:X:child:Number={'Sing'}, node:N:own:has_child=No, node:CLH:own:Mood=Ind, node:CLH:own:Tense=Pres, node:CLH:own:VerbForm=Fin, node:CLH:own:Voice=Act, node:CLH:own:upos=VERB, node:CLH:own:rel_shallow=root</t>
  </si>
  <si>
    <t>sent_id: 1700_1749_1649_letter141673 | rules: sentence:meta:period=1700_1749, node:X:own:Voice=Act, node:N:own:Case=Nom, node:N:own:Definite=Ind, node:N:own:Gender=Com, node:N:own:Number=Plur, node:N:own:has_child=No, node:CLH:own:VerbForm=Sup, node:CLH:own:Voice=Act, node:CLH:own:upos=VERB, node:CLH:own:rel_shallow=root</t>
  </si>
  <si>
    <t>sent_id: 1700_1749_1673_letter141673 | rules: sentence:meta:period=1700_1749, node:X:own:Voice=Act, node:X:child:Case={'Nom'}, node:X:child:Definite={'Ind'}, node:X:child:Gender={'Com'}, node:X:child:Number={'Sing'}, node:N:own:Case=Nom, node:N:own:Definite=Def, node:N:own:Gender=Com, node:N:own:Number=Sing, node:N:own:PronType=Prs, node:N:own:has_child=No, node:CLH:own:Case=Nom, node:CLH:own:Definite=Ind, node:CLH:own:Gender=Com, node:CLH:own:Number=Sing, node:CLH:own:upos=NOUN, node:CLH:own:rel_shallow=obj</t>
  </si>
  <si>
    <t>sent_id: 1700_1749_1762_letter141673 | rules: sentence:meta:period=1700_1749, node:X:own:Voice=Act, node:X:child:Case={'Nom'}, node:X:child:Definite={'Ind', 'Def'}, node:X:child:Gender={'Com'}, node:X:child:Number={'Sing'}, node:X:child:PronType={'Prs'}, node:N:own:Case=Nom, node:N:own:Definite=Def, node:N:own:Number=Plur, node:N:own:PronType=Prs, node:N:own:has_child=No, node:CLH:own:VerbForm=Inf, node:CLH:own:Voice=Act, node:CLH:own:upos=VERB, node:CLH:own:rel_shallow=conj</t>
  </si>
  <si>
    <t>sent_id: 1700_1749_1762_letter141673 | rules: sentence:meta:period=1700_1749, node:X:own:Voice=Act, node:X:child:Case={'Nom'}, node:X:child:Definite={'Ind', 'Def'}, node:X:child:Gender={'Com'}, node:X:child:Number={'Sing', 'Plur'}, node:X:child:PronType={'Prs'}, node:N:own:Definite=Def, node:N:own:Number=Sing, node:N:own:PronType=Prs, node:N:own:has_child=No, node:CLH:own:VerbForm=Inf, node:CLH:own:Voice=Act, node:CLH:own:upos=VERB, node:CLH:own:rel_shallow=conj</t>
  </si>
  <si>
    <t>sent_id: 1700_1749_1990_letter141673 | rules: sentence:meta:period=1700_1749, node:X:own:Voice=Act, node:X:child:Case={'Nom'}, node:X:child:Definite={'Def'}, node:X:child:Number={'Plur'}, node:X:child:PronType={'Prs'}, node:N:own:Case=Nom, node:N:own:Definite=Ind, node:N:own:Degree=Pos, node:N:child:upos={'ADP'}, node:N:child:rel_shallow={'case'}, node:CLH:own:Mood=Ind, node:CLH:own:Tense=Pres, node:CLH:own:VerbForm=Fin, node:CLH:own:Voice=Act, node:CLH:own:upos=VERB, node:CLH:own:rel_shallow=root</t>
  </si>
  <si>
    <t>sent_id: 1700_1749_1990_letter141673 | rules: sentence:meta:period=1700_1749, node:X:own:Voice=Act, node:X:child:Case={'Nom'}, node:X:child:Definite={'Ind'}, node:X:child:Degree={'Pos'}, node:N:own:Case=Nom, node:N:own:Definite=Def, node:N:own:Number=Plur, node:N:own:PronType=Prs, node:N:own:has_child=No, node:CLH:own:Mood=Ind, node:CLH:own:Tense=Pres, node:CLH:own:VerbForm=Fin, node:CLH:own:Voice=Act, node:CLH:own:upos=VERB, node:CLH:own:rel_shallow=root</t>
  </si>
  <si>
    <t>sent_id: 1700_1749_2034_letter141673 | rules: sentence:meta:period=1700_1749, node:X:own:Voice=Act, node:X:child:Case={'Nom', 'Acc'}, node:X:child:Definite={'Ind', 'Def'}, node:X:child:Number={'Plur'}, node:X:child:PronType={'Prs'}, node:X:child:Gender={'Com'}, node:X:child:Degree={'Pos'}, node:N:own:Case=Nom, node:N:own:Definite=Def, node:N:own:Gender=Neut, node:N:own:Number=Sing, node:N:child:upos={'ADV', 'ADJ'}, node:N:child:rel_shallow={'nmod', 'amod'}, node:N:child:Case={'Nom'}, node:N:child:Definite={'Ind', 'Def'}, node:N:child:Degree={'Pos'}, node:N:child:Gender={'Neut'}, node:N:child:Number={'Sing'}, node:CLH:own:Case=Nom, node:CLH:own:Definite=Ind, node:CLH:own:Degree=Pos, node:CLH:own:Gender=Neut, node:CLH:own:Number=Sing, node:CLH:own:upos=ADJ, node:CLH:own:rel_shallow=root</t>
  </si>
  <si>
    <t>sent_id: 1700_1749_2118_letter141673 | rules: sentence:meta:period=1700_1749, node:X:own:Voice=Act, node:X:child:Case={'Nom'}, node:X:child:Definite={'Ind'}, node:X:child:Gender={'Com'}, node:X:child:Number={'Sing'},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node:CLH:own:rel_shallow=root</t>
  </si>
  <si>
    <t>sent_id: 1700_1749_2219_letter141673 | rules: sentence:meta:period=1700_1749, node:X:own:Voice=Act, node:X:child:Case={'Nom', 'Acc'}, node:X:child:Definite={'Ind', 'Def'}, node:X:child:Gender={'Com'}, node:X:child:Number={'Sing', 'Plur'}, node:X:child:PronType={'Prs'}, node:N:own:Case=Nom, node:N:own:has_child=No, node:CLH:own:VerbForm=Sup, node:CLH:own:Voice=Act, node:CLH:own:upos=VERB, node:CLH:own:rel_shallow=root</t>
  </si>
  <si>
    <t>sent_id: 1700_1749_2259_letter141673 | rules: sentence:meta:period=1700_1749, node:X:own:Voice=Act, node:X:child:Case={'Nom', 'Acc'}, node:X:child:Definite={'Ind', 'Def'}, node:X:child:Gender={'Neut'}, node:X:child:Number={'Sing'}, node:X:child:PronType={'Prs'}, node:N:own:Case=Nom, node:N:own:Definite=Def, node:N:own:Gender=Com, node:N:own:Number=Sing, node:N:own:has_child=No, node:CLH:own:Mood=Ind, node:CLH:own:Tense=Pres, node:CLH:own:VerbForm=Fin, node:CLH:own:Voice=Act, node:CLH:own:upos=VERB, node:CLH:own:rel_shallow=ccomp</t>
  </si>
  <si>
    <t>sent_id: 1700_1749_2315_letter141673 | rules: sentence:meta:period=1700_1749, node:X:own:Voice=Act, node:X:child:Case={'Nom'}, node:X:child:Definite={'Ind'}, node:X:child:Gender={'Com', 'Neut'}, node:X:child:Number={'Sing', 'Plur'}, node:N:own:Case=Nom, node:N:own:Definite=Def, node:N:own:Gender=Com, node:N:own:Number=Sing, node:N:own:PronType=Prs, node:N:own:has_child=No, node:CLH:own:VerbForm=Sup, node:CLH:own:Voice=Act, node:CLH:own:upos=VERB, node:CLH:own:rel_shallow=conj</t>
  </si>
  <si>
    <t>sent_id: 1700_1749_2320_letter141673 | rules: sentence:meta:period=1700_1749, node:X:own:Voice=Act, node:N:own:Definite=Def, node:N:own:Gender=Neut, node:N:own:Number=Sing, node:N:own:PronType=Prs, node:N:child:Case={'Nom'}, node:N:child:Definite={'Ind'}, node:N:child:Degree={'Pos'}, node:N:child:Gender={'Com'}, node:N:child:Number={'Sing'}, node:N:child:Tense={'Past'}, node:N:child:VerbForm={'Part'}, node:N:child:upos={'ADJ'}, node:N:child:rel_shallow={'acl:relcl'}, node:CLH:own:Mood=Ind, node:CLH:own:VerbForm=Fin, node:CLH:own:Voice=Act, node:CLH:own:upos=VERB, node:CLH:own:rel_shallow=root</t>
  </si>
  <si>
    <t>sent_id: 1700_1749_2434_letter141673 | rules: sentence:meta:period=1700_1749, node:X:own:Voice=Act, node:X:child:Case={'Nom'}, node:X:child:Definite={'Ind'}, node:X:child:Gender={'Com', 'Neut'}, node:X:child:Number={'Sing'},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node:CLH:own:rel_shallow=acl:relcl</t>
  </si>
  <si>
    <t>sent_id: 1700_1749_2448_letter141673 | rules: sentence:meta:period=1700_1749, node:X:own:Voice=Act, node:X:child:Abbr={'Yes'}, node:X:child:Case={'Nom'}, node:X:child:Definite={'Ind'}, node:X:child:Gender={'Com'}, node:X:child:Number={'Sing'}, node:X:child:Foreign={'Yes'}, node:N:own:has_child=No, node:CLH:own:Mood=Ind, node:CLH:own:Tense=Pres, node:CLH:own:VerbForm=Fin, node:CLH:own:Voice=Act, node:CLH:own:upos=VERB, node:CLH:own:rel_shallow=root</t>
  </si>
  <si>
    <t>sent_id: 1700_1749_2468_letter141673 | rules: sentence:meta:period=1700_1749, node:X:own:Voice=Act, node:X:child:Definite={'Def'}, node:X:child:Gender={'Neut'}, node:X:child:Number={'Sing'}, node:X:child:PronType={'Prs'}, node:N:own:Case=Nom, node:N:own:Definite=Def, node:N:own:Gender=Com, node:N:own:Number=Sing, node:N:own:PronType=Prs, node:N:own:has_child=No, node:CLH:own:Case=Nom, node:CLH:own:Definite=Ind, node:CLH:own:Gender=Com, node:CLH:own:Number=Sing, node:CLH:own:upos=NOUN, node:CLH:own:rel_shallow=root</t>
  </si>
  <si>
    <t>sent_id: 1700_1749_2566_letter141673 | rules: sentence:meta:period=1700_1749, node:X:own:Voice=Act, node:X:child:Case={'Nom'}, node:X:child:Definite={'Def'}, node:X:child:Gender={'Com'}, node:X:child:Number={'Plur'}, node:X:child:NumType={'Card'}, node:N:own:Case=Nom, node:N:child:Case={'Nom'}, node:N:child:Definite={'Ind'}, node:N:child:Gender={'Com'}, node:N:child:Number={'Sing'}, node:N:child:upos={'NOUN'}, node:N:child:rel_shallow={'nmod'}, node:CLH:own:Mood=Ind, node:CLH:own:Tense=Pres, node:CLH:own:VerbForm=Fin, node:CLH:own:Voice=Act, node:CLH:own:upos=VERB, node:CLH:own:rel_shallow=root</t>
  </si>
  <si>
    <t>sent_id: 1700_1749_2607_letter141673 | rules: sentence:meta:period=1700_1749, node:X:own:Voice=Act, node:X:child:Degree={'Cmp'}, node:N:own:Case=Nom, node:N:own:Definite=Def, node:N:own:Gender=Com, node:N:own:Number=Sing, node:N:own:PronType=Prs, node:N:own:has_child=No, node:CLH:own:VerbForm=Sup, node:CLH:own:Voice=Act, node:CLH:own:upos=VERB, node:CLH:own:rel_shallow=conj</t>
  </si>
  <si>
    <t>sent_id: 1700_1749_2649_letter141673 | rules: sentence:meta:period=1700_1749, node:X:own:Voice=Act, node:X:child:Case={'Acc'}, node:X:child:Definite={'Def'}, node:X:child:Gender={'Com'}, node:X:child:Number={'Sing'}, node:X:child:PronType={'Prs'}, node:N:own:Case=Nom, node:N:own:Definite=Def, node:N:own:Number=Plur, node:N:own:PronType=Prs, node:N:child:upos={'ADP'}, node:N:child:rel_shallow={'case'}, node:CLH:own:VerbForm=Inf, node:CLH:own:Voice=Act, node:CLH:own:upos=VERB, node:CLH:own:rel_shallow=conj</t>
  </si>
  <si>
    <t>sent_id: 1700_1749_2769_letter141673 | rules: sentence:meta:period=1700_1749, node:X:own:Voice=Act, node:X:child:Degree={'Pos'}, node:X:child:Polarity={'Neg'}, node:N:own:Case=Nom, node:N:own:Definite=Def, node:N:own:Gender=Com, node:N:own:Number=Sing, node:N:own:PronType=Prs, node:N:own:has_child=No, node:CLH:own:VerbForm=Inf, node:CLH:own:Voice=Act, node:CLH:own:upos=VERB, node:CLH:own:rel_shallow=conj</t>
  </si>
  <si>
    <t>sent_id: 1700_1749_2799_letter141673 | rules: sentence:meta:period=1700_1749, node:X:own:Voice=Act, node:X:child:Definite={'Def'}, node:X:child:Gender={'Neut'}, node:X:child:Number={'Sing'}, node:X:child:PronType={'Dem'}, node:X:child:Case={'Nom'}, node:N:own:Case=Nom, node:N:own:has_child=No, node:CLH:own:Mood=Ind, node:CLH:own:Tense=Past, node:CLH:own:VerbForm=Fin, node:CLH:own:Voice=Act, node:CLH:own:upos=VERB, node:CLH:own:rel_shallow=root</t>
  </si>
  <si>
    <t>sent_id: 1700_1749_499_sec192 | rules: sentence:meta:period=1700_1749, node:X:own:Voice=Act, node:N:own:Case=Nom, node:N:own:Definite=Def, node:N:own:Gender=Com, node:N:own:Number=Sing, node:N:own:PronType=Prs, node:N:own:has_child=No, node:CLH:own:Case=Nom, node:CLH:own:Definite=Ind, node:CLH:own:Degree=Pos, node:CLH:own:Gender=Neut, node:CLH:own:Number=Sing, node:CLH:own:Tense=Past, node:CLH:own:VerbForm=Part, node:CLH:own:upos=ADJ, node:CLH:own:rel_shallow=root</t>
  </si>
  <si>
    <t>sent_id: 1700_1749_1046_sec192 | rules: sentence:meta:period=1700_1749, node:X:own:Voice=Act, node:X:child:Case={'Nom', 'Acc'}, node:X:child:Definite={'Ind', 'Def'}, node:X:child:Degree={'Pos'}, node:X:child:Number={'Sing', 'Plur'}, node:X:child:Gender={'Com'}, node:X:child:PronType={'Prs'}, node:N:own:Case=Nom, node:N:own:Definite=Def, node:N:own:Gender=Com, node:N:own:Number=Sing, node:N:own:PronType=Prs, node:N:own:has_child=No, node:CLH:own:Case=Nom, node:CLH:own:Definite=Def, node:CLH:own:Gender=Neut, node:CLH:own:Number=Sing, node:CLH:own:upos=NOUN, node:CLH:own:rel_shallow=root</t>
  </si>
  <si>
    <t>sent_id: 1700_1749_2674_sec192 | rules: sentence:meta:period=1700_1749, node:X:own:Voice=Act, node:N:own:Case=Nom, node:N:own:Definite=Def, node:N:own:Gender=Com, node:N:own:Number=Sing, node:N:own:PronType=Prs, node:N:child:Case={'Nom'}, node:N:child:upos={'PROPN'}, node:N:child:rel_shallow={'acl'}, node:CLH:own:Mood=Ind, node:CLH:own:Tense=Pres, node:CLH:own:VerbForm=Fin, node:CLH:own:Voice=Act, node:CLH:own:upos=VERB, node:CLH:own:rel_shallow=root</t>
  </si>
  <si>
    <t>sent_id: 1700_1749_69_sec25 | rules: sentence:meta:period=1700_1749, node:X:own:Voice=Act, node:X:child:Case={'Nom'}, node:X:child:Definite={'Ind'}, node:X:child:Gender={'Neut'}, node:X:child:Number={'Sing'}, node:N:own:Case=Nom, node:N:own:has_child=No, node:CLH:own:VerbForm=Inf, node:CLH:own:Voice=Act, node:CLH:own:upos=VERB, node:CLH:own:rel_shallow=root</t>
  </si>
  <si>
    <t>sent_id: 1700_1749_177_sec25 | rules: sentence:meta:period=1700_1749, node:X:own:Voice=Act, node:X:child:Case={'Nom'}, node:X:child:Definite={'Def'}, node:X:child:Gender={'Neut'}, node:X:child:Number={'Sing'}, node:N:own:Case=Nom, node:N:own:Definite=Ind, node:N:own:Gender=Com, node:N:own:Number=Plur, node:N:child:Case={'Nom'}, node:N:child:Definite={'Ind', 'Def'}, node:N:child:Gender={'Com', 'Neut'}, node:N:child:Number={'Sing', 'Plur'}, node:N:child:upos={'PRON', 'DET', 'NOUN'}, node:N:child:rel_shallow={'nmod', 'det', 'expl'}, node:N:child:PronType={'Ind', 'Prs'}, node:CLH:own:Case=Nom, node:CLH:own:Definite=Def, node:CLH:own:Gender=Com, node:CLH:own:Number=Sing, node:CLH:own:upos=NOUN, node:CLH:own:rel_shallow=obl</t>
  </si>
  <si>
    <t>sent_id: 1700_1749_196_sec25 | rules: sentence:meta:period=1700_1749, node:X:own:Voice=Act, node:X:child:Case={'Nom', 'Acc'}, node:X:child:Definite={'Ind', 'Def'}, node:X:child:Degree={'Pos'}, node:X:child:Gender={'Com'}, node:X:child:Number={'Sing'}, node:X:child:PronType={'Prs'}, node:N:own:Case=Nom, node:N:own:Definite=Def, node:N:own:Gender=Neut, node:N:own:Number=Sing, node:N:child:Mood={'Ind'}, node:N:child:Tense={'Past'}, node:N:child:VerbForm={'Fin'}, node:N:child:Voice={'Act'}, node:N:child:upos={'VERB', 'DET'}, node:N:child:rel_shallow={'det', 'acl:relcl'}, node:N:child:Definite={'Def'}, node:N:child:Gender={'Neut'}, node:N:child:Number={'Sing'}, node:N:child:PronType={'Art'}, node:CLH:own:Case=Nom, node:CLH:own:Definite=Ind, node:CLH:own:Gender=Neut, node:CLH:own:Number=Sing, node:CLH:own:upos=NOUN, node:CLH:own:rel_shallow=root</t>
  </si>
  <si>
    <t>sent_id: 1700_1749_205_sec25 | rules: sentence:meta:period=1700_1749, node:X:own:Voice=Act, node:X:child:Case={'Nom'}, node:X:child:Definite={'Ind'}, node:X:child:Gender={'Com'}, node:X:child:Number={'Sing', 'Plur'}, node:N:own:Case=Nom, node:N:own:Definite=Ind, node:N:own:Gender=Com, node:N:own:Number=Sing, node:N:own:PronType=Ind, node:N:own:has_child=No, node:CLH:own:Case=Nom, node:CLH:own:Definite=Def, node:CLH:own:Gender=Com, node:CLH:own:Number=Sing, node:CLH:own:upos=NOUN, node:CLH:own:rel_shallow=obj</t>
  </si>
  <si>
    <t>sent_id: 1700_1749_286_sec25 | rules: sentence:meta:period=1700_1749, node:X:own:Voice=Act, node:X:child:Case={'Nom'}, node:X:child:Definite={'Ind'}, node:X:child:Gender={'Com'}, node:X:child:Number={'Sing'},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node:CLH:own:rel_shallow=root</t>
  </si>
  <si>
    <t>sent_id: 1700_1749_286_sec25 | rules: sentence:meta:period=1700_1749, node:X:own:Voice=Act, node:X:child:Case={'Nom'}, node:X:child:Definite={'Def'}, node:X:child:Gender={'Com'}, node:X:child:Number={'Sing'}, node:X:child:PronType={'Prs'}, node:N:own:Case=Nom, node:N:own:Definite=Ind, node:N:own:Gender=Com, node:N:own:Number=Sing, node:N:child:Definite={'Def'}, node:N:child:Poss={'Yes'}, node:N:child:PronType={'Prs'}, node:N:child:upos={'PRON'}, node:N:child:rel_shallow={'nmod:poss'}, node:CLH:own:Mood=Ind, node:CLH:own:Tense=Past, node:CLH:own:VerbForm=Fin, node:CLH:own:Voice=Act, node:CLH:own:upos=VERB, node:CLH:own:rel_shallow=root</t>
  </si>
  <si>
    <t>sent_id: 1700_1749_361_sec25 | rules: sentence:meta:period=1700_1749, node:X:own:Voice=Act, node:X:child:Case={'Nom'}, node:X:child:Definite={'Ind'}, node:X:child:Gender={'Neut'}, node:X:child:Number={'Sing'}, node:N:own:Case=Nom, node:N:own:Definite=Ind, node:N:own:Gender=Com, node:N:own:Number=Plur, node:N:child:Case={'Nom'}, node:N:child:Degree={'Pos'}, node:N:child:upos={'ADJ'}, node:N:child:rel_shallow={'amod'}, node:CLH:own:VerbForm=Inf, node:CLH:own:Voice=Act, node:CLH:own:upos=VERB, node:CLH:own:rel_shallow=root</t>
  </si>
  <si>
    <t>sent_id: 1700_1749_363_sec25 | rules: sentence:meta:period=1700_1749, node:X:own:Voice=Act, node:X:child:Case={'Nom'}, node:X:child:Definite={'Ind'}, node:X:child:Gender={'Com'}, node:X:child:Number={'Sing'}, node:N:own:Case=Nom, node:N:child:Case={'Nom'}, node:N:child:Definite={'Def'}, node:N:child:Gender={'Com'}, node:N:child:Number={'Sing'}, node:N:child:upos={'NOUN'}, node:N:child:rel_shallow={'nmod'}, node:CLH:own:Case=Nom, node:CLH:own:Definite=Ind, node:CLH:own:Gender=Com, node:CLH:own:Number=Sing, node:CLH:own:upos=NOUN, node:CLH:own:rel_shallow=obl</t>
  </si>
  <si>
    <t>sent_id: 1700_1749_370_sec25 | rules: sentence:meta:period=1700_1749, node:X:own:Voice=Act, node:X:child:Case={'Nom', 'Acc'}, node:X:child:Definite={'Ind', 'Def'}, node:X:child:Gender={'Com', 'Neut'}, node:X:child:Number={'Sing'}, node:X:child:PronType={'Prs'}, node:N:own:Case=Nom, node:N:own:Definite=Def, node:N:own:Gender=Com, node:N:own:Number=Sing, node:N:own:PronType=Prs, node:N:own:has_child=No, node:CLH:own:Case=Nom, node:CLH:own:Definite=Ind, node:CLH:own:Gender=Com, node:CLH:own:Number=Sing, node:CLH:own:upos=NOUN, node:CLH:own:rel_shallow=root</t>
  </si>
  <si>
    <t>sent_id: 1700_1749_398_sec25 | rules: sentence:meta:period=1700_1749, node:X:own:Voice=Act, node:X:child:Case={'Nom'}, node:X:child:Definite={'Ind'}, node:X:child:Gender={'Com'}, node:X:child:Number={'Sing'}, node:N:own:Case=Nom, node:N:own:Definite=Def, node:N:own:Gender=Com, node:N:own:Number=Sing, node:N:own:PronType=Prs, node:N:own:has_child=No, node:CLH:own:VerbForm=Inf, node:CLH:own:Voice=Act, node:CLH:own:upos=VERB, node:CLH:own:rel_shallow=conj</t>
  </si>
  <si>
    <t>sent_id: 1700_1749_423_sec25 | rules: sentence:meta:period=1700_1749, node:X:own:Voice=Act, node:X:child:Case={'Nom'}, node:X:child:Definite={'Ind'}, node:X:child:Gender={'Com'}, node:X:child:Number={'Sing'}, node:X:child:Degree={'Pos'},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node:CLH:own:rel_shallow=root</t>
  </si>
  <si>
    <t>sent_id: 1700_1749_428_sec25 | rules: sentence:meta:period=1700_1749, node:X:own:Voice=Act, node:N:own:Case=Nom, node:N:own:has_child=No, node:CLH:own:VerbForm=Inf, node:CLH:own:Voice=Act, node:CLH:own:upos=VERB, node:CLH:own:rel_shallow=root</t>
  </si>
  <si>
    <t>sent_id: 1700_1749_436_sec25 | rules: sentence:meta:period=1700_1749, node:X:own:Voice=Act, node:X:child:Case={'Nom'}, node:X:child:Definite={'Ind', 'Def'}, node:X:child:Gender={'Com'}, node:X:child:Number={'Sing'}, node:N:own:Case=Nom, node:N:own:Definite=Def, node:N:own:Gender=Com, node:N:own:Number=Sing, node:N:own:PronType=Prs, node:N:own:has_child=No, node:CLH:own:Mood=Ind, node:CLH:own:Tense=Pres, node:CLH:own:VerbForm=Fin, node:CLH:own:Voice=Act, node:CLH:own:upos=VERB, node:CLH:own:rel_shallow=root</t>
  </si>
  <si>
    <t>sent_id: 1700_1749_441_sec25 | rules: sentence:meta:period=1700_1749, node:X:own:Voice=Act, node:N:own:Case=Nom, node:N:own:Definite=Def, node:N:own:Gender=Com, node:N:own:Number=Sing, node:N:own:PronType=Prs, node:N:own:has_child=No, node:CLH:own:VerbForm=Inf, node:CLH:own:Voice=Act, node:CLH:own:upos=VERB, node:CLH:own:rel_shallow=conj</t>
  </si>
  <si>
    <t>sent_id: 1700_1749_463_sec25 | rules: sentence:meta:period=1700_1749, node:X:own:Voice=Act, node:X:child:Case={'Nom'}, node:X:child:Definite={'Ind'}, node:X:child:Gender={'Neut'}, node:X:child:Number={'Sing'},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node:CLH:own:rel_shallow=root</t>
  </si>
  <si>
    <t>sent_id: 1700_1749_481_sec25 | rules: sentence:meta:period=1700_1749, node:X:own:Voice=Act, node:X:child:Polarity={'Neg'}, node:X:child:Case={'Nom'}, node:X:child:Definite={'Def'}, node:X:child:Gender={'Com'}, node:X:child:Number={'Sing'}, node:N:own:Case=Nom, node:N:own:Definite=Def, node:N:own:Gender=Neut, node:N:own:Number=Sing, node:N:own:has_child=No, node:CLH:own:Mood=Ind, node:CLH:own:Tense=Past, node:CLH:own:VerbForm=Fin, node:CLH:own:Voice=Act, node:CLH:own:upos=VERB, node:CLH:own:rel_shallow=acl:relcl</t>
  </si>
  <si>
    <t>sent_id: 1700_1749_519_sec25 | rules: sentence:meta:period=1700_1749, node:X:own:Voice=Act, node:X:child:Polarity={'Neg'}, node:X:child:Case={'Nom', 'Acc'}, node:X:child:Definite={'Ind', 'Def'}, node:X:child:Gender={'Com', 'Neut'}, node:X:child:Number={'Sing'}, node:X:child:PronType={'Prs'}, node:N:own:Definite=Def, node:N:own:Gender=Neut, node:N:own:Number=Sing, node:N:own:PronType=Dem, node:N:own:has_child=No, node:CLH:own:VerbForm=Inf, node:CLH:own:Voice=Act, node:CLH:own:upos=VERB, node:CLH:own:rel_shallow=xcomp</t>
  </si>
  <si>
    <t>sent_id: 1700_1749_519_sec25 | rules: sentence:meta:period=1700_1749, node:X:own:Voice=Act, node:X:child:Polarity={'Neg'}, node:X:child:Case={'Acc'}, node:X:child:Definite={'Def'}, node:X:child:Gender={'Com', 'Neut'}, node:X:child:Number={'Sing'}, node:X:child:PronType={'Dem', 'Prs'}, node:N:own:Case=Nom, node:N:own:Definite=Ind, node:N:own:Gender=Neut, node:N:own:Number=Sing, node:N:child:Definite={'Def'}, node:N:child:Poss={'Yes'}, node:N:child:PronType={'Prs'}, node:N:child:upos={'PRON'}, node:N:child:rel_shallow={'nmod:poss'}, node:CLH:own:VerbForm=Inf, node:CLH:own:Voice=Act, node:CLH:own:upos=VERB, node:CLH:own:rel_shallow=xcomp</t>
  </si>
  <si>
    <t>sent_id: 1700_1749_519_sec25 | rules: sentence:meta:period=1700_1749, node:X:own:Voice=Act, node:X:child:Polarity={'Neg'}, node:X:child:Case={'Nom'}, node:X:child:Definite={'Ind', 'Def'}, node:X:child:Gender={'Neut'}, node:X:child:Number={'Sing'}, node:X:child:PronType={'Dem'}, node:N:own:Case=Acc, node:N:own:Definite=Def, node:N:own:Gender=Com, node:N:own:Number=Sing, node:N:own:PronType=Prs, node:N:own:has_child=No, node:CLH:own:VerbForm=Inf, node:CLH:own:Voice=Act, node:CLH:own:upos=VERB, node:CLH:own:rel_shallow=xcomp</t>
  </si>
  <si>
    <t>sent_id: 1700_1749_522_sec25 | rules: sentence:meta:period=1700_1749, node:X:own:Voice=Act, node:X:child:Degree={'Pos'}, node:X:child:Polarity={'Neg'}, node:N:own:Definite=Def, node:N:own:Gender=Neut, node:N:own:Number=Sing, node:N:own:PronType=Prs, node:N:own:has_child=No, node:CLH:own:Mood=Ind, node:CLH:own:Tense=Past, node:CLH:own:VerbForm=Fin, node:CLH:own:Voice=Act, node:CLH:own:upos=VERB, node:CLH:own:rel_shallow=root</t>
  </si>
  <si>
    <t>sent_id: 1700_1749_537_sec25 | rules: sentence:meta:period=1700_1749, node:X:own:Voice=Act, node:X:child:Polarity={'Neg'},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node:CLH:own:rel_shallow=conj</t>
  </si>
  <si>
    <t>sent_id: 1700_1749_540_sec25 | rules: sentence:meta:period=1700_1749, node:X:own:Voice=Act, node:X:child:Case={'Nom'}, node:X:child:Definite={'Ind', 'Def'}, node:X:child:Gender={'Com'}, node:X:child:Number={'Sing'}, node:X:child:Degree={'Pos'}, node:N:own:Case=Nom, node:N:own:Definite=Def, node:N:own:Gender=Com, node:N:own:Number=Sing, node:N:own:PronType=Prs, node:N:child:Definite={'Def'}, node:N:child:Gender={'Com'}, node:N:child:Number={'Sing'}, node:N:child:PronType={'Art'}, node:N:child:upos={'DET'}, node:N:child:rel_shallow={'det'}, node:CLH:own:Mood=Ind, node:CLH:own:Tense=Past, node:CLH:own:VerbForm=Fin, node:CLH:own:Voice=Act, node:CLH:own:upos=VERB, node:CLH:own:rel_shallow=ccomp</t>
  </si>
  <si>
    <t>sent_id: 1700_1749_546_sec25 | rules: sentence:meta:period=1700_1749, node:X:own:Voice=Act, node:X:child:Case={'Nom'}, node:X:child:Definite={'Ind'}, node:X:child:Gender={'Com'}, node:X:child:Number={'Sing'},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node:CLH:own:rel_shallow=conj</t>
  </si>
  <si>
    <t>sent_id: 1700_1749_566_sec25 | rules: sentence:meta:period=1700_1749, node:X:own:Voice=Act, node:X:child:Case={'Nom'}, node:X:child:Definite={'Ind'}, node:X:child:Gender={'Com', 'Neut'}, node:X:child:Number={'Sing'}, node:N:own:Case=Nom, node:N:own:Definite=Def, node:N:own:Gender=Com, node:N:own:Number=Sing, node:N:own:PronType=Prs, node:N:own:has_child=No, node:CLH:own:VerbForm=Sup, node:CLH:own:Voice=Act, node:CLH:own:upos=VERB, node:CLH:own:rel_shallow=xcomp</t>
  </si>
  <si>
    <t>sent_id: 1700_1749_599_sec25 | rules: sentence:meta:period=1700_1749, node:X:own:Voice=Act, node:X:child:Case={'Nom'}, node:X:child:Definite={'Ind'}, node:X:child:Gender={'Com'}, node:X:child:Number={'Sing'}, node:X:child:Polarity={'Neg'},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node:CLH:own:rel_shallow=conj</t>
  </si>
  <si>
    <t>sent_id: 1700_1749_601_sec25 | rules: sentence:meta:period=1700_1749, node:X:own:Voice=Act, node:X:child:Case={'Nom', 'Acc'}, node:X:child:Definite={'Ind', 'Def'}, node:X:child:Gender={'Com'}, node:X:child:Number={'Sing'}, node:X:child:PronType={'Prs'},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node:CLH:own:rel_shallow=conj</t>
  </si>
  <si>
    <t>sent_id: 1700_1749_606_sec25 | rules: sentence:meta:period=1700_1749, node:X:own:Voice=Act, node:X:child:Case={'Acc'}, node:X:child:Definite={'Def'}, node:X:child:Gender={'Com'}, node:X:child:Number={'Sing'}, node:X:child:PronType={'Prs'}, node:X:child:Polarity={'Neg'}, node:N:own:Case=Nom, node:N:own:Definite=Ind, node:N:own:Gender=Com, node:N:own:Number=Sing, node:N:own:PronType=Ind, node:N:own:has_child=No, node:CLH:own:VerbForm=Sup, node:CLH:own:Voice=Pass, node:CLH:own:upos=VERB, node:CLH:own:rel_shallow=xcomp</t>
  </si>
  <si>
    <t>sent_id: 1700_1749_608_sec25 | rules: sentence:meta:period=1700_1749, node:X:own:Voice=Act, node:X:child:Case={'Nom', 'Acc'}, node:X:child:Definite={'Ind', 'Def'}, node:X:child:Gender={'Com'}, node:X:child:Number={'Sing'}, node:X:child:PronType={'Prs'}, node:N:own:Case=Nom, node:N:child:Case={'Nom'}, node:N:child:upos={'PROPN'}, node:N:child:rel_shallow={'flat:name'}, node:CLH:own:Mood=Ind, node:CLH:own:Tense=Past, node:CLH:own:VerbForm=Fin, node:CLH:own:Voice=Act, node:CLH:own:upos=VERB, node:CLH:own:rel_shallow=root</t>
  </si>
  <si>
    <t>sent_id: 1700_1749_617_sec25 | rules: sentence:meta:period=1700_1749, node:X:own:Voice=Act, node:X:child:Case={'Nom', 'Acc'}, node:X:child:Definite={'Def'}, node:X:child:PronType={'Prs'}, node:N:own:Case=Nom, node:N:child:Case={'Nom'}, node:N:child:upos={'PROPN'}, node:N:child:rel_shallow={'flat:name'}, node:CLH:own:VerbForm=Inf, node:CLH:own:Voice=Act, node:CLH:own:upos=VERB, node:CLH:own:rel_shallow=parataxis</t>
  </si>
  <si>
    <t>sent_id: 1700_1749_627_sec25 | rules: sentence:meta:period=1700_1749, node:X:own:Voice=Act, node:X:child:Case={'Nom'}, node:X:child:Definite={'Ind', 'Def'}, node:X:child:Gender={'Com'}, node:X:child:Number={'Sing'}, node:X:child:PronType={'Prs'},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node:CLH:own:rel_shallow=conj</t>
  </si>
  <si>
    <t>sent_id: 1700_1749_629_sec25 | rules: sentence:meta:period=1700_1749, node:X:own:Voice=Act, node:X:child:Case={'Nom'}, node:X:child:Definite={'Def'}, node:X:child:Gender={'Com'}, node:X:child:Number={'Sing'}, node:N:own:Case=Nom, node:N:own:Definite=Def, node:N:own:Gender=Com, node:N:own:Number=Sing, node:N:own:PronType=Prs, node:N:own:has_child=No, node:CLH:own:VerbForm=Inf, node:CLH:own:Voice=Act, node:CLH:own:upos=VERB, node:CLH:own:rel_shallow=acl</t>
  </si>
  <si>
    <t>sent_id: 1700_1749_630_sec25 | rules: sentence:meta:period=1700_1749, node:X:own:Voice=Act, node:X:child:Case={'Nom'}, node:X:child:Definite={'Def'}, node:X:child:Gender={'Neut'}, node:X:child:Number={'Sing'}, node:N:own:Case=Nom, node:N:own:Definite=Def, node:N:own:Gender=Com, node:N:own:Number=Sing, node:N:own:PronType=Prs, node:N:child:Case={'Nom'}, node:N:child:Definite={'Ind'}, node:N:child:Gender={'Com'}, node:N:child:Number={'Sing'}, node:N:child:upos={'NOUN'}, node:N:child:rel_shallow={'nmod'}, node:CLH:own:VerbForm=Inf, node:CLH:own:Voice=Act, node:CLH:own:upos=VERB, node:CLH:own:rel_shallow=ccomp</t>
  </si>
  <si>
    <t>sent_id: 1700_1749_633_sec25 | rules: sentence:meta:period=1700_1749, node:X:own:Voice=Act, node:X:child:Case={'Nom'}, node:X:child:Definite={'Ind', 'Def'}, node:X:child:Gender={'Com'}, node:X:child:Number={'Sing'}, node:X:child:PronType={'Prs'}, node:N:own:Case=Nom, node:N:child:Case={'Nom'}, node:N:child:Definite={'Def'}, node:N:child:Gender={'Com'}, node:N:child:Number={'Sing'}, node:N:child:upos={'NOUN'}, node:N:child:rel_shallow={'nmod'}, node:CLH:own:Mood=Sub, node:CLH:own:Tense=Past, node:CLH:own:VerbForm=Fin, node:CLH:own:Voice=Act, node:CLH:own:upos=VERB, node:CLH:own:rel_shallow=root</t>
  </si>
  <si>
    <t>sent_id: 1700_1749_633_sec25 | rules: sentence:meta:period=1700_1749, node:X:own:Voice=Act, node:X:child:Case={'Nom'}, node:X:child:Definite={'Ind'}, node:X:child:Gender={'Com'}, node:X:child:Number={'Sing'}, node:N:own:Case=Nom, node:N:own:Definite=Def, node:N:own:Gender=Com, node:N:own:Number=Sing, node:N:own:PronType=Prs, node:N:own:has_child=No, node:CLH:own:Mood=Sub, node:CLH:own:Tense=Past, node:CLH:own:VerbForm=Fin, node:CLH:own:Voice=Act, node:CLH:own:upos=VERB, node:CLH:own:rel_shallow=root</t>
  </si>
  <si>
    <t>sent_id: 1700_1749_633_sec25 | rules: sentence:meta:period=1700_1749, node:X:own:Voice=Act, node:X:child:Case={'Nom'}, node:X:child:Definite={'Ind'}, node:X:child:Gender={'Com', 'Neut'}, node:X:child:Number={'Sing'},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node:CLH:own:rel_shallow=parataxis</t>
  </si>
  <si>
    <t>sent_id: 1700_1749_637_sec25 | rules: sentence:meta:period=1700_1749, node:X:own:Voice=Act, node:X:child:Case={'Nom'}, node:X:child:Definite={'Def'}, node:X:child:Gender={'Com'}, node:X:child:Number={'Sing'}, node:N:own:Case=Nom, node:N:own:Definite=Ind, node:N:own:Gender=Com, node:N:own:Number=Sing, node:N:own:PronType=Ind, node:N:own:has_child=No, node:CLH:own:VerbForm=Inf, node:CLH:own:Voice=Act, node:CLH:own:upos=VERB, node:CLH:own:rel_shallow=advcl</t>
  </si>
  <si>
    <t>sent_id: 1700_1749_638_sec25 | rules: sentence:meta:period=1700_1749, node:X:own:Voice=Act, node:N:own:Case=Nom, node:N:own:has_child=No, node:CLH:own:Mood=Ind, node:CLH:own:Tense=Past, node:CLH:own:VerbForm=Fin, node:CLH:own:Voice=Act, node:CLH:own:upos=VERB, node:CLH:own:rel_shallow=root</t>
  </si>
  <si>
    <t>sent_id: 1700_1749_655_sec25 | rules: sentence:meta:period=1700_1749, node:X:own:Voice=Act, node:X:child:Case={'Nom'}, node:X:child:Definite={'Ind'}, node:X:child:Gender={'Neut'}, node:X:child:Number={'Sing'}, node:N:own:Case=Nom, node:N:own:Definite=Ind, node:N:own:Gender=Neut, node:N:own:Number=Sing, node:N:child:Definite={'Def'}, node:N:child:Poss={'Yes'}, node:N:child:PronType={'Prs'}, node:N:child:upos={'PRON'}, node:N:child:rel_shallow={'nmod:poss'}, node:CLH:own:VerbForm=Inf, node:CLH:own:Voice=Act, node:CLH:own:upos=VERB, node:CLH:own:rel_shallow=xcomp</t>
  </si>
  <si>
    <t>sent_id: 1700_1749_661_sec25 | rules: sentence:meta:period=1700_1749, node:X:own:Voice=Act, node:X:child:Case={'Nom', 'Acc'}, node:X:child:Definite={'Ind', 'Def'}, node:X:child:Gender={'Com', 'Neut'}, node:X:child:Number={'Sing'}, node:X:child:PronType={'Prs'},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node:CLH:own:rel_shallow=advcl</t>
  </si>
  <si>
    <t>sent_id: 1700_1749_680_sec25 | rules: sentence:meta:period=1700_1749, node:X:own:Voice=Act, node:X:child:Case={'Nom'}, node:X:child:Definite={'Ind', 'Def'}, node:X:child:Gender={'Com'}, node:X:child:Number={'Sing'},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node:CLH:own:rel_shallow=advcl</t>
  </si>
  <si>
    <t>sent_id: 1700_1749_680_sec25 | rules: sentence:meta:period=1700_1749, node:X:own:Voice=Act, node:X:child:Case={'Nom'}, node:X:child:Definite={'Def'}, node:X:child:Gender={'Com'}, node:X:child:Number={'Sing'}, node:X:child:PronType={'Prs'}, node:N:own:Case=Nom, node:N:own:Definite=Ind, node:N:own:Gender=Com, node:N:own:Number=Sing, node:N:own:has_child=No, node:CLH:own:Mood=Ind, node:CLH:own:Tense=Past, node:CLH:own:VerbForm=Fin, node:CLH:own:Voice=Act, node:CLH:own:upos=VERB, node:CLH:own:rel_shallow=advcl</t>
  </si>
  <si>
    <t>sent_id: 1700_1749_684_sec25 | rules: sentence:meta:period=1700_1749, node:X:own:Voice=Act, node:X:child:Case={'Acc'}, node:X:child:Definite={'Def'}, node:X:child:Gender={'Com'}, node:X:child:Number={'Sing'}, node:X:child:PronType={'Prs'},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node:CLH:own:rel_shallow=ccomp</t>
  </si>
  <si>
    <t>sent_id: 1700_1749_686_sec25 | rules: sentence:meta:period=1700_1749, node:X:own:Voice=Act, node:X:child:Case={'Nom'}, node:X:child:Definite={'Ind'}, node:X:child:Gender={'Neut'}, node:X:child:Number={'Sing'}, node:X:child:Degree={'Pos'}, node:N:own:Case=Nom, node:N:own:Definite=Def, node:N:own:Gender=Com, node:N:own:Number=Sing, node:N:own:PronType=Prs, node:N:own:has_child=No, node:CLH:own:VerbForm=Sup, node:CLH:own:Voice=Act, node:CLH:own:upos=VERB, node:CLH:own:rel_shallow=conj</t>
  </si>
  <si>
    <t>sent_id: 1700_1749_696_sec25 | rules: sentence:meta:period=1700_1749, node:X:own:Voice=Act, node:X:child:Case={'Nom'}, node:X:child:Definite={'Ind'}, node:X:child:Gender={'Com'}, node:X:child:Number={'Sing'}, node:N:own:Case=Nom, node:N:own:Definite=Ind, node:N:own:Gender=Com, node:N:own:Number=Sing, node:N:child:Definite={'Ind'}, node:N:child:Gender={'Com'}, node:N:child:Number={'Sing'}, node:N:child:PronType={'Art'}, node:N:child:upos={'DET'}, node:N:child:rel_shallow={'det'}, node:CLH:own:Case=Nom, node:CLH:own:upos=PROPN, node:CLH:own:rel_shallow=conj</t>
  </si>
  <si>
    <t>sent_id: 1700_1749_723_sec25 | rules: sentence:meta:period=1700_1749, node:X:own:Voice=Act, node:X:child:Degree={'Sup'}, node:N:own:Case=Nom, node:N:own:Definite=Def, node:N:own:Number=Plur, node:N:own:PronType=Prs, node:N:own:has_child=No, node:CLH:own:VerbForm=Sup, node:CLH:own:Voice=Act, node:CLH:own:upos=VERB, node:CLH:own:rel_shallow=acl:relcl</t>
  </si>
  <si>
    <t>sent_id: 1700_1749_724_sec25 | rules: sentence:meta:period=1700_1749, node:X:own:Voice=Act, node:X:child:Case={'Acc'}, node:X:child:Definite={'Def'}, node:X:child:Gender={'Com'}, node:X:child:Number={'Sing'}, node:X:child:PronType={'Prs'}, node:N:own:Case=Nom, node:N:child:Mood={'Ind'}, node:N:child:Tense={'Past'}, node:N:child:VerbForm={'Fin'}, node:N:child:Voice={'Act'}, node:N:child:upos={'VERB', 'PART'}, node:N:child:rel_shallow={'advmod', 'acl:relcl'}, node:N:child:Polarity={'Neg'}, node:CLH:own:VerbForm=Sup, node:CLH:own:Voice=Act, node:CLH:own:upos=VERB, node:CLH:own:rel_shallow=root</t>
  </si>
  <si>
    <t>sent_id: 1700_1749_731_sec25 | rules: sentence:meta:period=1700_1749, node:X:own:Voice=Act, node:X:child:Case={'Nom', 'Acc'}, node:X:child:Definite={'Ind', 'Def'}, node:X:child:Gender={'Com'}, node:X:child:Number={'Sing'}, node:X:child:Degree={'Pos'}, node:X:child:PronType={'Prs'}, node:X:child:Polarity={'Neg'},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node:CLH:own:rel_shallow=root</t>
  </si>
  <si>
    <t>sent_id: 1700_1749_760_sec25 | rules: sentence:meta:period=1700_1749, node:X:own:Voice=Act, node:X:child:Case={'Nom'}, node:X:child:Definite={'Ind'}, node:X:child:Gender={'Com'}, node:X:child:Number={'Sing'}, node:X:child:Degree={'Pos'}, node:N:own:Case=Nom, node:N:own:Definite=Def, node:N:own:Gender=Com, node:N:own:Number=Sing, node:N:own:PronType=Prs, node:N:own:has_child=No, node:CLH:own:Case=Nom, node:CLH:own:Definite=Ind, node:CLH:own:Degree=Pos, node:CLH:own:Gender=Com, node:CLH:own:Number=Sing, node:CLH:own:Tense=Past, node:CLH:own:VerbForm=Part, node:CLH:own:upos=ADJ, node:CLH:own:rel_shallow=acl</t>
  </si>
  <si>
    <t>sent_id: 1700_1749_765_sec25 | rules: sentence:meta:period=1700_1749, node:X:own:Voice=Act, node:X:child:Case={'Nom'},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node:CLH:own:rel_shallow=acl:relcl</t>
  </si>
  <si>
    <t>sent_id: 1700_1749_775_sec25 | rules: sentence:meta:period=1700_1749, node:X:own:Voice=Act, node:X:child:Case={'Nom'}, node:N:own:Case=Nom, node:N:own:has_child=No, node:CLH:own:Case=Nom, node:CLH:own:Definite=Ind, node:CLH:own:Gender=Com, node:CLH:own:Number=Sing, node:CLH:own:upos=NOUN, node:CLH:own:rel_shallow=obl</t>
  </si>
  <si>
    <t>sent_id: 1700_1749_775_sec25 | rules: sentence:meta:period=1700_1749, node:X:own:Voice=Act, node:X:child:Case={'Nom'}, node:N:own:Case=Nom, node:N:child:Case={'Nom'}, node:N:child:upos={'PROPN'}, node:N:child:rel_shallow={'flat:name'}, node:CLH:own:Case=Nom, node:CLH:own:Definite=Ind, node:CLH:own:Gender=Com, node:CLH:own:Number=Sing, node:CLH:own:upos=NOUN, node:CLH:own:rel_shallow=obl</t>
  </si>
  <si>
    <t>sent_id: 1700_1749_775_sec25 | rules: sentence:meta:period=1700_1749, node:X:own:Voice=Act, node:X:child:Case={'Nom'}, node:X:child:Definite={'Ind', 'Def'}, node:X:child:Gender={'Com'}, node:X:child:Number={'Sing'}, node:N:own:Case=Nom, node:N:child:Case={'Nom'}, node:N:child:upos={'PROPN'}, node:N:child:rel_shallow={'flat:name'}, node:CLH:own:Mood=Ind, node:CLH:own:Tense=Past, node:CLH:own:VerbForm=Fin, node:CLH:own:Voice=Act, node:CLH:own:upos=VERB, node:CLH:own:rel_shallow=root</t>
  </si>
  <si>
    <t>sent_id: 1700_1749_775_sec25 | rules: sentence:meta:period=1700_1749, node:X:own:Voice=Act, node:X:child:Case={'Nom', 'Acc'}, node:X:child:Definite={'Ind', 'Def'}, node:X:child:Gender={'Com'}, node:X:child:Number={'Sing'}, node:X:child:PronType={'Prs'}, node:N:own:Case=Nom, node:N:own:has_child=No, node:CLH:own:Mood=Ind, node:CLH:own:Tense=Past, node:CLH:own:VerbForm=Fin, node:CLH:own:Voice=Act, node:CLH:own:upos=VERB, node:CLH:own:rel_shallow=advcl</t>
  </si>
  <si>
    <t>sent_id: 1700_1749_782_sec25 | rules: sentence:meta:period=1700_1749, node:X:own:Voice=Act, node:X:child:Case={'Nom'}, node:X:child:Definite={'Ind'}, node:X:child:Gender={'Com'}, node:X:child:Number={'Sing'},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node:CLH:own:rel_shallow=parataxis</t>
  </si>
  <si>
    <t>sent_id: 1700_1749_782_sec25 | rules: sentence:meta:period=1700_1749, node:X:own:Voice=Act, node:X:child:Case={'Acc'}, node:X:child:Definite={'Def'}, node:X:child:PronType={'Prs'}, node:N:own:Case=Nom, node:N:own:Definite=Ind, node:N:own:Gender=Com, node:N:own:Number=Sing, node:N:child:Case={'Nom'}, node:N:child:Definite={'Ind'}, node:N:child:Gender={'Com'}, node:N:child:Number={'Sing'}, node:N:child:upos={'CCONJ', 'NOUN'}, node:N:child:rel_shallow={'nmod', 'det'}, node:CLH:own:VerbForm=Sup, node:CLH:own:Voice=Act, node:CLH:own:upos=VERB, node:CLH:own:rel_shallow=advcl</t>
  </si>
  <si>
    <t>sent_id: 1700_1749_791_sec25 | rules: sentence:meta:period=1700_1749, node:X:own:Voice=Act, node:X:child:Case={'Acc'}, node:X:child:Definite={'Def'}, node:X:child:PronType={'Prs'}, node:X:child:Degree={'Pos'}, node:N:own:Case=Nom, node:N:child:Case={'Nom'}, node:N:child:Definite={'Ind'}, node:N:child:Gender={'Com'}, node:N:child:Number={'Sing'}, node:N:child:upos={'NOUN'}, node:N:child:rel_shallow={'nmod'}, node:CLH:own:Mood=Ind, node:CLH:own:Tense=Past, node:CLH:own:VerbForm=Fin, node:CLH:own:Voice=Act, node:CLH:own:upos=VERB, node:CLH:own:rel_shallow=root</t>
  </si>
  <si>
    <t>sent_id: 1700_1749_797_sec25 | rules: sentence:meta:period=1700_1749, node:X:own:Voice=Act, node:X:child:Case={'Nom', 'Acc'}, node:X:child:Definite={'Def'}, node:X:child:Number={'Plur'}, node:X:child:PronType={'Prs'}, node:N:own:Case=Nom, node:N:own:Definite=Def, node:N:own:Gender=Com, node:N:own:Number=Plur, node:N:child:Definite={'Def'}, node:N:child:Number={'Plur'}, node:N:child:PronType={'Tot'}, node:N:child:upos={'DET'}, node:N:child:rel_shallow={'det'}, node:CLH:own:VerbForm=Inf, node:CLH:own:Voice=Act, node:CLH:own:upos=VERB, node:CLH:own:rel_shallow=root</t>
  </si>
  <si>
    <t>sent_id: 1700_1749_797_sec25 | rules: sentence:meta:period=1700_1749, node:X:own:Voice=Act, node:X:child:Case={'Nom', 'Acc'}, node:X:child:Definite={'Def'}, node:X:child:Number={'Plur'}, node:X:child:PronType={'Prs'}, node:X:child:Gender={'Com'}, node:N:own:Case=Nom, node:N:own:Definite=Def, node:N:own:Number=Plur, node:N:own:PronType=Prs, node:N:own:has_child=No, node:CLH:own:VerbForm=Inf, node:CLH:own:Voice=Act, node:CLH:own:upos=VERB, node:CLH:own:rel_shallow=root</t>
  </si>
  <si>
    <t>sent_id: 1700_1749_800_sec25 | rules: sentence:meta:period=1700_1749, node:X:own:Voice=Act, node:X:child:Case={'Nom'}, node:X:child:Definite={'Def'}, node:X:child:Gender={'Com'}, node:X:child:Number={'Sing'}, node:N:own:Case=Nom, node:N:own:Definite=Def, node:N:own:Gender=Com, node:N:own:Number=Sing, node:N:child:Case={'Nom'}, node:N:child:Definite={'Def'}, node:N:child:Gender={'Neut'}, node:N:child:Number={'Sing'}, node:N:child:upos={'NOUN'}, node:N:child:rel_shallow={'conj'}, node:CLH:own:Mood=Ind, node:CLH:own:Tense=Past, node:CLH:own:VerbForm=Fin, node:CLH:own:Voice=Act, node:CLH:own:upos=VERB, node:CLH:own:rel_shallow=root</t>
  </si>
  <si>
    <t>sent_id: 1700_1749_800_sec25 | rules: sentence:meta:period=1700_1749, node:X:own:Voice=Act, node:X:child:Case={'Nom'}, node:X:child:Definite={'Def'}, node:X:child:Gender={'Com'}, node:X:child:Number={'Sing'}, node:N:own:Case=Nom, node:N:own:Definite=Def, node:N:own:Gender=Com, node:N:own:Number=Sing, node:N:own:has_child=No, node:CLH:own:Mood=Ind, node:CLH:own:Tense=Past, node:CLH:own:VerbForm=Fin, node:CLH:own:Voice=Act, node:CLH:own:upos=VERB, node:CLH:own:rel_shallow=root</t>
  </si>
  <si>
    <t>sent_id: 1700_1749_807_sec25 | rules: sentence:meta:period=1700_1749, node:X:own:Voice=Act, node:X:child:Case={'Nom'}, node:N:own:Case=Nom, node:N:own:Definite=Ind, node:N:own:Gender=Com, node:N:own:Number=Sing, node:N:own:has_child=No, node:CLH:own:Mood=Ind, node:CLH:own:Tense=Past, node:CLH:own:VerbForm=Fin, node:CLH:own:Voice=Pass, node:CLH:own:upos=VERB, node:CLH:own:rel_shallow=root</t>
  </si>
  <si>
    <t>sent_id: 1700_1749_807_sec25 | rules: sentence:meta:period=1700_1749, node:X:own:Voice=Act, node:X:child:Case={'Nom'}, node:X:child:Definite={'Ind', 'Def'}, node:X:child:Gender={'Com'}, node:X:child:Number={'Sing'},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node:CLH:own:rel_shallow=conj</t>
  </si>
  <si>
    <t>sent_id: 1700_1749_830_sec25 | rules: sentence:meta:period=1700_1749, node:X:own:Voice=Act, node:X:child:Case={'Nom'}, node:N:own:Definite=Def, node:N:own:Gender=Neut, node:N:own:Number=Sing, node:N:own:PronType=Prs, node:N:own:has_child=No, node:CLH:own:VerbForm=Sup, node:CLH:own:Voice=Act, node:CLH:own:upos=VERB, node:CLH:own:rel_shallow=acl:relcl</t>
  </si>
  <si>
    <t>sent_id: 1700_1749_831_sec25 | rules: sentence:meta:period=1700_1749, node:X:own:Voice=Act, node:X:child:Case={'Nom'}, node:X:child:Definite={'Ind'}, node:X:child:Gender={'Neut'}, node:X:child:Number={'Sing'},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node:CLH:own:rel_shallow=acl:relcl</t>
  </si>
  <si>
    <t>sent_id: 1700_1749_856_sec25 | rules: sentence:meta:period=1700_1749, node:X:own:Voice=Act, node:X:child:Case={'Nom'}, node:X:child:Definite={'Ind'}, node:X:child:Gender={'Com'}, node:X:child:Number={'Sing'}, node:N:own:Case=Nom, node:N:own:Definite=Def, node:N:own:Gender=Com, node:N:own:Number=Sing, node:N:own:has_child=No, node:CLH:own:Mood=Ind, node:CLH:own:Tense=Past, node:CLH:own:VerbForm=Fin, node:CLH:own:Voice=Act, node:CLH:own:upos=VERB, node:CLH:own:rel_shallow=advcl</t>
  </si>
  <si>
    <t>sent_id: 1700_1749_856_sec25 | rules: sentence:meta:period=1700_1749, node:X:own:Voice=Act, node:X:child:Case={'Nom'}, node:X:child:Definite={'Def'}, node:X:child:Gender={'Neut'}, node:X:child:Number={'Sing'}, node:X:child:PronType={'Prs'},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node:CLH:own:rel_shallow=conj</t>
  </si>
  <si>
    <t>sent_id: 1700_1749_857_sec25 | rules: sentence:meta:period=1700_1749, node:X:own:Voice=Act, node:X:child:Case={'Nom'}, node:X:child:Definite={'Ind'}, node:X:child:Gender={'Com'}, node:X:child:Number={'Sing'}, node:N:own:Case=Nom, node:N:own:Definite=Ind, node:N:own:Gender=Com, node:N:own:Number=Sing, node:N:child:Case={'Nom'}, node:N:child:Definite={'Def'}, node:N:child:Degree={'Pos'}, node:N:child:upos={'ADJ', 'PRON'}, node:N:child:rel_shallow={'nmod:poss', 'amod'}, node:N:child:Poss={'Yes'}, node:N:child:PronType={'Prs'}, node:CLH:own:Case=Nom, node:CLH:own:Definite=Ind, node:CLH:own:Gender=Com, node:CLH:own:Number=Sing, node:CLH:own:upos=NOUN, node:CLH:own:rel_shallow=obj</t>
  </si>
  <si>
    <t>sent_id: 1700_1749_877_sec25 | rules: sentence:meta:period=1700_1749, node:X:own:Voice=Act, node:N:own:Case=Nom, node:N:child:Case={'Nom'}, node:N:child:upos={'NOUN', 'PROPN'}, node:N:child:rel_shallow={'nmod'}, node:N:child:Number={'Sing'}, node:CLH:own:VerbForm=Inf, node:CLH:own:Voice=Act, node:CLH:own:upos=VERB, node:CLH:own:rel_shallow=root</t>
  </si>
  <si>
    <t>sent_id: 1700_1749_898_sec25 | rules: sentence:meta:period=1700_1749, node:X:own:Voice=Act, node:X:child:Case={'Nom', 'Acc'}, node:X:child:Definite={'Ind', 'Def'}, node:X:child:Gender={'Neut'}, node:X:child:Number={'Sing'}, node:X:child:PronType={'Prs'}, node:N:own:Case=Nom, node:N:own:Definite=Ind, node:N:own:Gender=Com, node:N:own:Number=Sing, node:N:child:Case={'Nom'}, node:N:child:upos={'DET', 'PROPN'}, node:N:child:rel_shallow={'flat:name', 'det'}, node:N:child:Definite={'Ind'}, node:N:child:Gender={'Com'}, node:N:child:Number={'Sing'}, node:N:child:PronType={'Art'}, node:CLH:own:Mood=Sub, node:CLH:own:Tense=Past, node:CLH:own:VerbForm=Fin, node:CLH:own:Voice=Act, node:CLH:own:upos=VERB, node:CLH:own:rel_shallow=ccomp</t>
  </si>
  <si>
    <t>sent_id: 1700_1749_901_sec25 | rules: sentence:meta:period=1700_1749, node:X:own:Voice=Act, node:X:child:Case={'Nom'}, node:X:child:Definite={'Ind', 'Def'}, node:X:child:Gender={'Com'}, node:X:child:Number={'Sing', 'Plur'}, node:N:own:Case=Nom, node:N:own:has_child=No, node:CLH:own:Mood=Ind, node:CLH:own:Tense=Past, node:CLH:own:VerbForm=Fin, node:CLH:own:Voice=Act, node:CLH:own:upos=VERB, node:CLH:own:rel_shallow=root</t>
  </si>
  <si>
    <t>sent_id: 1700_1749_927_sec25 | rules: sentence:meta:period=1700_1749, node:X:own:Voice=Act,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node:CLH:own:rel_shallow=acl:relcl</t>
  </si>
  <si>
    <t>sent_id: 1700_1749_928_sec25 | rules: sentence:meta:period=1700_1749, node:X:own:Voice=Act, node:X:child:Case={'Nom'}, node:X:child:Definite={'Ind'}, node:X:child:Gender={'Com'}, node:X:child:Number={'Sing'}, node:N:own:Case=Nom, node:N:child:Case={'Nom'}, node:N:child:Definite={'Ind'}, node:N:child:Gender={'Com'}, node:N:child:Number={'Sing'}, node:N:child:upos={'DET', 'NOUN'}, node:N:child:rel_shallow={'det', 'conj'}, node:N:child:PronType={'Art'}, node:CLH:own:VerbForm=Sup, node:CLH:own:Voice=Act, node:CLH:own:upos=VERB, node:CLH:own:rel_shallow=conj</t>
  </si>
  <si>
    <t>sent_id: 1700_1749_930_sec25 | rules: sentence:meta:period=1700_1749, node:X:own:Voice=Act, node:X:child:Case={'Nom'}, node:X:child:Definite={'Ind'}, node:X:child:Degree={'Pos'}, node:X:child:Number={'Plur'}, node:N:own:Case=Nom, node:N:own:Definite=Def, node:N:own:Number=Plur, node:N:own:PronType=Prs, node:N:own:has_child=No, node:CLH:own:Case=Nom, node:CLH:own:Definite=Ind, node:CLH:own:Gender=Com, node:CLH:own:Number=Sing, node:CLH:own:upos=NOUN, node:CLH:own:rel_shallow=conj</t>
  </si>
  <si>
    <t>sent_id: 1700_1749_941_sec25 | rules: sentence:meta:period=1700_1749, node:X:own:Voice=Act, node:X:child:Case={'Nom'}, node:X:child:Definite={'Ind'}, node:X:child:Gender={'Com'}, node:X:child:Number={'Sing'}, node:N:own:Case=Nom, node:N:own:Definite=Ind, node:N:own:Gender=Com, node:N:own:Number=Sing, node:N:child:Definite={'Def'}, node:N:child:Poss={'Yes'}, node:N:child:PronType={'Prs'}, node:N:child:upos={'PRON'}, node:N:child:rel_shallow={'nmod:poss'}, node:CLH:own:VerbForm=Inf, node:CLH:own:Voice=Act, node:CLH:own:upos=VERB, node:CLH:own:rel_shallow=advcl</t>
  </si>
  <si>
    <t>sent_id: 1700_1749_943_sec25 | rules: sentence:meta:period=1700_1749, node:X:own:Voice=Act, node:X:child:Case={'Nom'}, node:X:child:Definite={'Ind'}, node:X:child:Gender={'Neut'}, node:X:child:Number={'Sing'},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node:CLH:own:rel_shallow=advcl</t>
  </si>
  <si>
    <t>sent_id: 1700_1749_949_sec25 | rules: sentence:meta:period=1700_1749, node:X:own:Voice=Act, node:X:child:Case={'Nom', 'Acc'}, node:X:child:Definite={'Def'}, node:X:child:Number={'Plur'}, node:X:child:PronType={'Prs'}, node:N:own:Case=Nom, node:N:own:Definite=Ind, node:N:own:Gender=Com, node:N:own:Number=Sing, node:N:child:Case={'Nom'}, node:N:child:Definite={'Ind'}, node:N:child:Gender={'Com'}, node:N:child:NumType={'Card'}, node:N:child:Number={'Sing'}, node:N:child:upos={'NUM'}, node:N:child:rel_shallow={'nummod'}, node:CLH:own:Mood=Ind, node:CLH:own:Tense=Past, node:CLH:own:VerbForm=Fin, node:CLH:own:Voice=Act, node:CLH:own:upos=VERB, node:CLH:own:rel_shallow=ccomp</t>
  </si>
  <si>
    <t>sent_id: 1700_1749_950_sec25 | rules: sentence:meta:period=1700_1749, node:X:own:Voice=Act, node:X:child:Case={'Acc'}, node:X:child:Definite={'Ind', 'Def'}, node:X:child:PronType={'Prs', 'Ind'}, node:X:child:Degree={'Pos'}, node:X:child:Gender={'Neut'}, node:X:child:Number={'Sing'}, node:N:own:Case=Nom, node:N:own:has_child=No, node:CLH:own:Mood=Ind, node:CLH:own:Tense=Past, node:CLH:own:VerbForm=Fin, node:CLH:own:Voice=Act, node:CLH:own:upos=VERB, node:CLH:own:rel_shallow=root</t>
  </si>
  <si>
    <t>sent_id: 1700_1749_950_sec25 | rules: sentence:meta:period=1700_1749, node:X:own:Voice=Act, node:X:child:Case={'Nom', 'Acc'}, node:X:child:Definite={'Def'}, node:X:child:PronType={'Prs'}, node:X:child:Degree={'Pos'}, node:N:own:Definite=Ind, node:N:own:Gender=Neut, node:N:own:Number=Sing, node:N:own:PronType=Ind, node:N:own:has_child=No, node:CLH:own:Mood=Ind, node:CLH:own:Tense=Past, node:CLH:own:VerbForm=Fin, node:CLH:own:Voice=Act, node:CLH:own:upos=VERB, node:CLH:own:rel_shallow=root</t>
  </si>
  <si>
    <t>sent_id: 1700_1749_951_sec25 | rules: sentence:meta:period=1700_1749, node:X:own:Voice=Act, node:X:child:Case={'Nom'}, node:X:child:Definite={'Ind', 'Def'}, node:X:child:Gender={'Com', 'Neut'}, node:X:child:Number={'Sing'}, node:X:child:PronType={'Rel', 'Prs'}, node:N:own:Case=Nom, node:N:own:Definite=Ind, node:N:own:Gender=Com, node:N:own:Number=Sing, node:N:own:has_child=No, node:CLH:own:Mood=Ind, node:CLH:own:Tense=Past, node:CLH:own:VerbForm=Fin, node:CLH:own:Voice=Act, node:CLH:own:upos=VERB, node:CLH:own:rel_shallow=root</t>
  </si>
  <si>
    <t>sent_id: 1700_1749_951_sec25 | rules: sentence:meta:period=1700_1749, node:X:own:Voice=Act, node:X:child:Case={'Nom'}, node:X:child:Definite={'Ind', 'Def'}, node:X:child:Gender={'Com', 'Neut'}, node:X:child:Number={'Sing'}, node:X:child:PronType={'Prs'}, node:N:own:Definite=Ind, node:N:own:Gender=Neut, node:N:own:Number=Sing, node:N:own:PronType=Rel, node:N:own:has_child=No, node:CLH:own:Mood=Ind, node:CLH:own:Tense=Past, node:CLH:own:VerbForm=Fin, node:CLH:own:Voice=Act, node:CLH:own:upos=VERB, node:CLH:own:rel_shallow=root</t>
  </si>
  <si>
    <t>sent_id: 1700_1749_951_sec25 | rules: sentence:meta:period=1700_1749, node:X:own:Voice=Act, node:X:child:Case={'Nom'}, node:X:child:Definite={'Ind'}, node:X:child:Gender={'Com', 'Neut'}, node:X:child:Number={'Sing'}, node:X:child:PronType={'Rel'}, node:N:own:Definite=Def, node:N:own:Gender=Com, node:N:own:Number=Sing, node:N:own:PronType=Prs, node:N:own:has_child=No, node:CLH:own:Mood=Ind, node:CLH:own:Tense=Past, node:CLH:own:VerbForm=Fin, node:CLH:own:Voice=Act, node:CLH:own:upos=VERB, node:CLH:own:rel_shallow=root</t>
  </si>
  <si>
    <t>sent_id: 1700_1749_951_sec25 | rules: sentence:meta:period=1700_1749, node:X:own:Voice=Act, node:X:child:Case={'Nom'}, node:X:child:Definite={'Def'}, node:X:child:Gender={'Com'}, node:X:child:Number={'Sing'}, node:X:child:PronType={'Prs'}, node:N:own:Case=Nom, node:N:own:Definite=Ind, node:N:own:Gender=Com, node:N:own:Number=Sing, node:N:child:Case={'Nom'}, node:N:child:Definite={'Ind', 'Def'}, node:N:child:Gender={'Neut'}, node:N:child:Number={'Sing'}, node:N:child:upos={'ADJ', 'PRON', 'NOUN'}, node:N:child:rel_shallow={'nmod:poss', 'conj', 'amod'}, node:N:child:Degree={'Pos'}, node:N:child:Poss={'Yes'}, node:N:child:PronType={'Prs'}, node:CLH:own:upos=INTJ, node:CLH:own:rel_shallow=nmod</t>
  </si>
  <si>
    <t>sent_id: 1700_1749_951_sec25 | rules: sentence:meta:period=1700_1749, node:X:own:Voice=Act, node:X:child:Case={'Nom'}, node:X:child:Definite={'Ind', 'Def'}, node:X:child:Gender={'Com'}, node:X:child:Number={'Sing'}, node:N:own:Case=Nom, node:N:own:Definite=Def, node:N:own:Gender=Com, node:N:own:Number=Sing, node:N:own:PronType=Prs, node:N:own:has_child=No, node:CLH:own:upos=INTJ, node:CLH:own:rel_shallow=nmod</t>
  </si>
  <si>
    <t>sent_id: 1700_1749_952_sec25 | rules: sentence:meta:period=1700_1749, node:X:own:Voice=Act,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node:CLH:own:rel_shallow=root</t>
  </si>
  <si>
    <t>sent_id: 1700_1749_962_sec25 | rules: sentence:meta:period=1700_1749, node:X:own:Voice=Act, node:X:child:Case={'Nom'}, node:X:child:Definite={'Ind'}, node:X:child:Gender={'Neut'}, node:X:child:Number={'Sing'}, node:X:child:Degree={'Pos'}, node:N:own:Case=Nom, node:N:own:Definite=Ind, node:N:own:Gender=Neut, node:N:own:Number=Sing, node:N:child:Case={'Nom', 'Gen'}, node:N:child:upos={'PROPN'}, node:N:child:rel_shallow={'nmod', 'nmod:poss'}, node:CLH:own:VerbForm=Inf, node:CLH:own:Voice=Act, node:CLH:own:upos=VERB, node:CLH:own:rel_shallow=advcl</t>
  </si>
  <si>
    <t>sent_id: 1700_1749_987_sec25 | rules: sentence:meta:period=1700_1749, node:X:own:Voice=Act, node:X:child:Case={'Nom'}, node:X:child:Definite={'Ind'}, node:X:child:Gender={'Neut'}, node:X:child:Number={'Sing'},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node:CLH:own:rel_shallow=root</t>
  </si>
  <si>
    <t>sent_id: 1700_1749_987_sec25 | rules: sentence:meta:period=1700_1749, node:X:own:Voice=Act, node:X:child:Case={'Nom'}, node:X:child:Definite={'Ind', 'Def'}, node:X:child:Gender={'Com', 'Neut'}, node:X:child:Number={'Sing'}, node:X:child:PronType={'Prs'}, node:X:child:Polarity={'Neg'}, node:N:own:Case=Nom, node:N:own:Definite=Def, node:N:own:Gender=Com, node:N:own:Number=Sing, node:N:own:PronType=Prs, node:N:own:has_child=No, node:CLH:own:Case=Nom, node:CLH:own:upos=PROPN, node:CLH:own:rel_shallow=appos</t>
  </si>
  <si>
    <t>sent_id: 1700_1749_987_sec25 | rules: sentence:meta:period=1700_1749, node:X:own:Voice=Act, node:X:child:Case={'Nom'}, node:X:child:Definite={'Ind'}, node:X:child:Degree={'Pos'}, node:X:child:Gender={'Com'}, node:X:child:Number={'Sing'}, node:N:own:Case=Nom, node:N:own:Definite=Def, node:N:own:Gender=Com, node:N:own:Number=Sing, node:N:own:PronType=Prs, node:N:own:has_child=No, node:CLH:own:VerbForm=Sup, node:CLH:own:Voice=Act, node:CLH:own:upos=VERB, node:CLH:own:rel_shallow=xcomp</t>
  </si>
  <si>
    <t>sent_id: 1700_1749_1001_sec25 | rules: sentence:meta:period=1700_1749, node:X:own:Voice=Act, node:X:child:Definite={'Def'}, node:X:child:Gender={'Neut'}, node:X:child:Number={'Sing'}, node:X:child:PronType={'Prs'}, node:N:own:Case=Nom, node:N:own:Definite=Def, node:N:own:Gender=Com, node:N:own:Number=Sing, node:N:own:PronType=Prs, node:N:own:has_child=No, node:CLH:own:Mood=Ind, node:CLH:own:Tense=Past, node:CLH:own:VerbForm=Fin, node:CLH:own:Voice=Act, node:CLH:own:upos=VERB, node:CLH:own:rel_shallow=root</t>
  </si>
  <si>
    <t>sent_id: 1700_1749_1001_sec25 | rules: sentence:meta:period=1700_1749, node:X:own:Voice=Act, node:X:child:Case={'Nom'}, node:X:child:Definite={'Def'}, node:X:child:Gender={'Com'}, node:X:child:Number={'Sing'}, node:X:child:PronType={'Prs'}, node:N:own:Definite=Def, node:N:own:Gender=Neut, node:N:own:Number=Sing, node:N:own:PronType=Prs, node:N:own:has_child=No, node:CLH:own:Mood=Ind, node:CLH:own:Tense=Past, node:CLH:own:VerbForm=Fin, node:CLH:own:Voice=Act, node:CLH:own:upos=VERB, node:CLH:own:rel_shallow=root</t>
  </si>
  <si>
    <t>sent_id: 1700_1749_1016_sec25 | rules: sentence:meta:period=1700_1749, node:X:own:Voice=Act, node:X:child:Case={'Nom'}, node:X:child:Definite={'Ind'}, node:X:child:Gender={'Com'}, node:X:child:Number={'Sing'}, node:N:own:Case=Nom, node:N:own:Definite=Def, node:N:own:Gender=Com, node:N:own:Number=Sing, node:N:own:PronType=Prs, node:N:own:has_child=No, node:CLH:own:Case=Nom, node:CLH:own:Definite=Ind, node:CLH:own:Gender=Com, node:CLH:own:Number=Sing, node:CLH:own:upos=NOUN, node:CLH:own:rel_shallow=obl</t>
  </si>
  <si>
    <t>sent_id: 1700_1749_1025_sec25 | rules: sentence:meta:period=1700_1749, node:X:own:Voice=Act, node:X:child:Case={'Nom'}, node:X:child:Definite={'Ind'}, node:X:child:Gender={'Com'}, node:X:child:Number={'Plur'}, node:N:own:Case=Nom, node:N:own:Definite=Ind, node:N:own:Degree=Pos, node:N:own:Gender=Com, node:N:own:Number=Sing, node:N:child:Case={'Nom'}, node:N:child:Definite={'Ind', 'Def'}, node:N:child:Gender={'Com'}, node:N:child:Number={'Sing'}, node:N:child:upos={'DET', 'NOUN'}, node:N:child:rel_shallow={'acl', 'det'}, node:N:child:PronType={'Neg'}, node:CLH:own:Mood=Ind, node:CLH:own:Tense=Past, node:CLH:own:VerbForm=Fin, node:CLH:own:Voice=Act, node:CLH:own:upos=VERB, node:CLH:own:rel_shallow=root</t>
  </si>
  <si>
    <t>node:X:child:Number=Sing,node:X:child:Foreign=Yes</t>
  </si>
  <si>
    <t>node:CLH:own:Mood=Imp,sentence:meta:period=1900_1950</t>
  </si>
  <si>
    <t>node:CLH:own:Gender=Com,node:X:child:PronType=Rel</t>
  </si>
  <si>
    <t>sentence:meta:period=1700_1749,node:CLH:own:Tense=Past</t>
  </si>
  <si>
    <t>node:CLH:own:rel_shallow=xcomp,sentence:meta:period=1700_1749</t>
  </si>
  <si>
    <t>node:CLH:own:upos=NOUN,sentence:meta:period=1700_1749</t>
  </si>
  <si>
    <t>node:X:child:PronType=Int,node:CLH:own:Tense=Pres</t>
  </si>
  <si>
    <t>node:X:child:Polarity=Neg,sentence:meta:period=1800_1849</t>
  </si>
  <si>
    <t>sentence:meta:period=1700_1749,node:X:child:PronType=Prs</t>
  </si>
  <si>
    <t>node:CLH:own:Mood=Imp,node:X:child:PronType=Prs</t>
  </si>
  <si>
    <t>node:CLH:own:upos=VERB,sentence:meta:period=1700_1749</t>
  </si>
  <si>
    <t>node:CLH:own:Gender=Neut,node:X:child:Case=Acc</t>
  </si>
  <si>
    <t>node:X:child:Case=Nom,sentence:meta:period=1700_1749</t>
  </si>
  <si>
    <t>node:X:own:Voice=Act,sentence:meta:period=1700_1749</t>
  </si>
  <si>
    <t>node:X:child:Definite=Ind,node:X:child:Degree=Cmp</t>
  </si>
  <si>
    <t>node:X:child:Case=Acc,sentence:meta:period=1700_1749</t>
  </si>
  <si>
    <t>node:CLH:own:Mood=Ind,node:X:child:PronType=Int</t>
  </si>
  <si>
    <t>node:CLH:own:VerbForm=Fin,node:X:child:PronType=Int</t>
  </si>
  <si>
    <t>node:X:own:Voice=Act,node:X:child:Degree=Sup</t>
  </si>
  <si>
    <t>node:CLH:own:VerbForm=Sup,sentence:meta:period=1700_1749</t>
  </si>
  <si>
    <t>node:CLH:own:rel_shallow=advcl,node:X:child:Number=Plur</t>
  </si>
  <si>
    <t>sentence:meta:period=1750_1799,node:CLH:own:Tense=Past</t>
  </si>
  <si>
    <t>node:CLH:own:Definite=Ind,sentence:meta:period=1900_1950</t>
  </si>
  <si>
    <t>sentence:meta:period=1700_1749,node:CLH:own:Tense=Pres</t>
  </si>
  <si>
    <t>node:CLH:own:Number=Sing,sentence:meta:period=1750_1799</t>
  </si>
  <si>
    <t>node:X:child:Degree=Cmp</t>
  </si>
  <si>
    <t>node:CLH:own:Definite=Ind,sentence:meta:period=1750_1799</t>
  </si>
  <si>
    <t>node:CLH:own:rel_shallow=ccomp,node:CLH:own:VerbForm=Inf</t>
  </si>
  <si>
    <t>sentence:meta:period=1850_1899,node:X:child:PronType=Rel</t>
  </si>
  <si>
    <t>node:CLH:own:upos=NOUN,sentence:meta:period=1750_1799</t>
  </si>
  <si>
    <t>sentence:meta:period=1900_1950,node:CLH:own:Tense=Pres</t>
  </si>
  <si>
    <t>node:CLH:own:upos=VERB,sentence:meta:period=1800_1849</t>
  </si>
  <si>
    <t>sentence:meta:period=1800_1849,node:X:child:Gender=Com</t>
  </si>
  <si>
    <t>node:X:child:Polarity=Neg,node:CLH:own:rel_shallow=conj</t>
  </si>
  <si>
    <t>node:X:child:Case=Nom,sentence:meta:period=1800_1849</t>
  </si>
  <si>
    <t>node:CLH:own:rel_shallow=root,sentence:meta:period=1750_1799</t>
  </si>
  <si>
    <t>node:X:own:Voice=Act,sentence:meta:period=1750_1799</t>
  </si>
  <si>
    <t>sentence:meta:period=1750_1799</t>
  </si>
  <si>
    <t>node:CLH:own:VerbForm=Fin,node:X:child:PronType=Ind</t>
  </si>
  <si>
    <t>node:CLH:own:upos=VERB,node:X:child:PronType=Int</t>
  </si>
  <si>
    <t>sentence:meta:period=1750_1799,node:X:child:Gender=Com</t>
  </si>
  <si>
    <t>sentence:meta:period=1750_1799,node:X:child:PronType=Prs</t>
  </si>
  <si>
    <t>node:CLH:own:rel_shallow=root,node:CLH:own:Voice=Pass</t>
  </si>
  <si>
    <t>node:X:child:Number=Sing,sentence:meta:period=1750_1799</t>
  </si>
  <si>
    <t>node:CLH:own:VerbForm=Inf,sentence:meta:period=1850_1899</t>
  </si>
  <si>
    <t>node:CLH:own:rel_shallow=acl:relcl,node:X:child:Gender=Neut</t>
  </si>
  <si>
    <t>node:CLH:own:Degree=Pos,node:X:child:Case=Nom</t>
  </si>
  <si>
    <t>node:CLH:own:rel_shallow=advcl,node:X:child:PronType=Prs</t>
  </si>
  <si>
    <t>node:X:child:NumType=Card,node:X:child:Definite=Def</t>
  </si>
  <si>
    <t>node:X:child:Case=Nom,node:X:child:PronType=Ind</t>
  </si>
  <si>
    <t>node:CLH:own:rel_shallow=advcl,node:X:child:Case=Nom</t>
  </si>
  <si>
    <t>node:X:child:Polarity=Neg,node:X:child:Gender=Neut</t>
  </si>
  <si>
    <t>node:CLH:own:upos=VERB,node:CLH:own:rel_shallow=parataxis</t>
  </si>
  <si>
    <t>node:X:child:Polarity=Neg,node:CLH:own:VerbForm=Sup</t>
  </si>
  <si>
    <t>node:X:child:PronType=Ind,node:X:child:Gender=Neut</t>
  </si>
  <si>
    <t>node:CLH:own:Gender=Neut,node:X:child:Gender=Neut</t>
  </si>
  <si>
    <t>sentence:meta:period=1850_1899,node:CLH:own:Tense=Past</t>
  </si>
  <si>
    <t>node:X:child:Case=Acc,node:CLH:own:Tense=Past</t>
  </si>
  <si>
    <t>node:CLH:own:VerbForm=Fin,node:X:child:Gender=Neut</t>
  </si>
  <si>
    <t>node:CLH:own:rel_shallow=root,node:X:child:Case=Acc</t>
  </si>
  <si>
    <t>node:CLH:own:rel_shallow=root,node:CLH:own:Gender=Neut</t>
  </si>
  <si>
    <t>node:CLH:own:Gender=Neut,node:X:child:Gender=Com</t>
  </si>
  <si>
    <t>node:CLH:own:Mood=Ind,node:X:child:Gender=Neut</t>
  </si>
  <si>
    <t>node:CLH:own:VerbForm=Sup,node:X:child:Definite=Def</t>
  </si>
  <si>
    <t>node:CLH:own:rel_shallow=ccomp,node:X:child:Definite=Ind</t>
  </si>
  <si>
    <t>node:CLH:own:rel_shallow=root,node:CLH:own:Tense=Past</t>
  </si>
  <si>
    <t>node:X:child:Case=Nom,node:CLH:own:VerbForm=Sup</t>
  </si>
  <si>
    <t>node:X:child:Number=Plur,node:CLH:own:Case=Nom</t>
  </si>
  <si>
    <t>node:X:child:Polarity=Neg,node:CLH:own:Voice=Act</t>
  </si>
  <si>
    <t>node:CLH:own:rel_shallow=root,sentence:meta:period=1800_1849</t>
  </si>
  <si>
    <t>sentence:meta:period=1750_1799,node:X:child:Gender=Neut</t>
  </si>
  <si>
    <t>node:CLH:own:upos=NOUN,node:CLH:own:Gender=Com</t>
  </si>
  <si>
    <t>node:X:own:Voice=Act,node:CLH:own:VerbForm=Sup</t>
  </si>
  <si>
    <t>node:CLH:own:rel_shallow=conj,node:X:child:Degree=Pos</t>
  </si>
  <si>
    <t>node:CLH:own:upos=NOUN,node:CLH:own:rel_shallow=obl</t>
  </si>
  <si>
    <t>node:X:child:Definite=Ind,node:CLH:own:Case=Nom</t>
  </si>
  <si>
    <t>node:CLH:own:rel_shallow=conj,sentence:meta:period=1850_1899</t>
  </si>
  <si>
    <t>node:CLH:own:rel_shallow=root,node:CLH:own:VerbForm=Inf</t>
  </si>
  <si>
    <t>node:CLH:own:rel_shallow=parataxis,sentence:meta:period=1900_1950</t>
  </si>
  <si>
    <t>sentence:meta:period=1850_1899,node:X:child:PronType=Prs</t>
  </si>
  <si>
    <t>node:X:child:Number=Plur,sentence:meta:period=1900_1950</t>
  </si>
  <si>
    <t>sentence:meta:period=1900_1950,node:X:child:Definite=Def</t>
  </si>
  <si>
    <t>node:CLH:own:Voice=Act,node:X:child:Degree=Pos</t>
  </si>
  <si>
    <t>node:CLH:own:rel_shallow=acl:relcl,node:X:child:Gender=Com</t>
  </si>
  <si>
    <t>node:CLH:own:Gender=Com,node:X:child:PronType=Prs</t>
  </si>
  <si>
    <t>node:X:own:Voice=Act,node:CLH:own:VerbForm=Fin</t>
  </si>
  <si>
    <t>node:CLH:own:VerbForm=Fin,sentence:meta:period=1850_1899</t>
  </si>
  <si>
    <t>node:CLH:own:rel_shallow=parataxis,node:CLH:own:Case=Nom</t>
  </si>
  <si>
    <t>sentence:meta:period=1850_1899,node:X:child:Definite=Ind</t>
  </si>
  <si>
    <t>node:CLH:own:rel_shallow=root,node:X:child:Number=Plur</t>
  </si>
  <si>
    <t>node:X:child:Case=Acc,node:CLH:own:VerbForm=Inf</t>
  </si>
  <si>
    <t>node:CLH:own:upos=VERB,node:CLH:own:rel_shallow=root</t>
  </si>
  <si>
    <t>node:X:own:Voice=Act,node:CLH:own:Mood=Ind</t>
  </si>
  <si>
    <t>sentence:meta:period=1900_1950,node:X:child:Gender=Com</t>
  </si>
  <si>
    <t>node:CLH:own:upos=NOUN,node:X:own:Voice=Act</t>
  </si>
  <si>
    <t>node:X:child:Number=Sing,node:X:child:Gender=Neut</t>
  </si>
  <si>
    <t>node:X:child:PronType=Prs,node:X:child:Gender=Neut</t>
  </si>
  <si>
    <t>node:CLH:own:Gender=Com,sentence:meta:period=1800_1849</t>
  </si>
  <si>
    <t>node:X:child:Definite=Ind,node:X:child:Gender=Neut</t>
  </si>
  <si>
    <t>node:CLH:own:rel_shallow=root,sentence:meta:period=1850_1899</t>
  </si>
  <si>
    <t>node:X:own:Voice=Act,node:X:child:Case=Acc</t>
  </si>
  <si>
    <t>node:CLH:own:rel_shallow=root,node:X:child:Definite=Def</t>
  </si>
  <si>
    <t>node:CLH:own:upos=ADJ,node:X:child:Number=Plur</t>
  </si>
  <si>
    <t>node:CLH:own:upos=VERB,node:CLH:own:Tense=Pres</t>
  </si>
  <si>
    <t>node:X:child:Polarity=Neg,node:CLH:own:Mood=Ind</t>
  </si>
  <si>
    <t>node:X:child:Number=Plur,node:X:child:Gender=Neut</t>
  </si>
  <si>
    <t>node:CLH:own:VerbForm=Fin,node:X:child:Definite=Ind</t>
  </si>
  <si>
    <t>node:CLH:own:upos=ADJ,node:X:child:PronType=Prs</t>
  </si>
  <si>
    <t>node:CLH:own:Voice=Act,node:X:child:Number=Plur</t>
  </si>
  <si>
    <t>node:X:child:Number=Plur,node:CLH:own:Mood=Ind</t>
  </si>
  <si>
    <t>node:CLH:own:Definite=Ind,sentence:meta:period=1850_1899</t>
  </si>
  <si>
    <t>node:X:child:Definite=Def,node:X:child:Degree=Pos</t>
  </si>
  <si>
    <t>node:CLH:own:rel_shallow=conj,node:X:child:Case=Acc</t>
  </si>
  <si>
    <t>node:CLH:own:Mood=Ind,node:X:child:PronType=Prs</t>
  </si>
  <si>
    <t>node:CLH:own:Number=Sing,node:X:own:Voice=Act</t>
  </si>
  <si>
    <t>node:X:child:PronType=Prs,node:CLH:own:Tense=Past</t>
  </si>
  <si>
    <t>node:X:own:Voice=Act,node:CLH:own:Case=Nom</t>
  </si>
  <si>
    <t>node:X:own:Voice=Act,node:CLH:own:Voice=Act</t>
  </si>
  <si>
    <t>node:CLH:own:upos=VERB,node:X:child:Definite=Ind</t>
  </si>
  <si>
    <t>node:CLH:own:Voice=Act,node:X:child:Number=Sing</t>
  </si>
  <si>
    <t>node:X:child:PronType=Prs,node:CLH:own:Case=Nom</t>
  </si>
  <si>
    <t>node:X:child:Number=Sing,node:CLH:own:VerbForm=Inf</t>
  </si>
  <si>
    <t>node:X:child:Case=Nom,node:X:child:Gender=Com</t>
  </si>
  <si>
    <t>node:CLH:own:rel_shallow=conj,node:CLH:own:Mood=Ind</t>
  </si>
  <si>
    <t>node:X:child:Number=Plur,node:X:child:PronType=Prs</t>
  </si>
  <si>
    <t>node:CLH:own:rel_shallow=conj,node:X:child:Number=Sing</t>
  </si>
  <si>
    <t>node:X:own:Voice=Act,sentence:meta:period=1850_1899</t>
  </si>
  <si>
    <t>node:CLH:own:VerbForm=Inf,node:X:child:Gender=Neut</t>
  </si>
  <si>
    <t>node:X:child:Definite=Ind,node:X:child:Gender=Com</t>
  </si>
  <si>
    <t>node:X:own:Voice=Act,node:X:child:PronType=Prs</t>
  </si>
  <si>
    <t>node:X:child:Number=Sing,node:X:child:Case=Nom</t>
  </si>
  <si>
    <t>node:X:child:Number=Sing,node:X:child:Definite=Def</t>
  </si>
  <si>
    <t>node:X:own:Voice=Act,node:X:child:Definite=Ind</t>
  </si>
  <si>
    <t>node:X:own:Voice=Act</t>
  </si>
  <si>
    <t>node:CLH:own:Voice=Act,node:X:child:PronType=Prs</t>
  </si>
  <si>
    <t>node:X:child:Number=Sing,node:X:child:Degree=Pos</t>
  </si>
  <si>
    <t>node:X:child:Number=Plur,node:X:child:Gender=Com</t>
  </si>
  <si>
    <t>node:CLH:own:VerbForm=Inf,node:X:child:Gender=Com</t>
  </si>
  <si>
    <t>node:X:child:Case=Nom,node:X:child:Number=Sing,node:X:child:Foreign=Yes</t>
  </si>
  <si>
    <t>node:X:child:Number=Sing,node:X:own:Voice=Act,node:X:child:Foreign=Yes</t>
  </si>
  <si>
    <t>node:X:child:Number=Sing,node:X:child:Foreign=Yes,node:X:child:Gender=Com</t>
  </si>
  <si>
    <t>node:CLH:own:Gender=Com,node:X:child:Case=Nom,node:X:child:PronType=Rel</t>
  </si>
  <si>
    <t>node:CLH:own:Gender=Com,node:X:child:PronType=Rel,node:X:child:Number=Sing</t>
  </si>
  <si>
    <t>node:CLH:own:Gender=Com,node:X:child:PronType=Rel,node:X:child:Definite=Ind</t>
  </si>
  <si>
    <t>node:CLH:own:Gender=Com,node:X:child:PronType=Rel,node:CLH:own:Number=Sing</t>
  </si>
  <si>
    <t>node:CLH:own:Tense=Pres,node:CLH:own:rel_shallow=parataxis,sentence:meta:period=1900_1950</t>
  </si>
  <si>
    <t>node:X:child:Definite=Ind,node:CLH:own:rel_shallow=xcomp,sentence:meta:period=1700_1749</t>
  </si>
  <si>
    <t>node:CLH:own:Tense=Past,node:X:child:PronType=Rel,sentence:meta:period=1850_1899</t>
  </si>
  <si>
    <t>node:CLH:own:Tense=Past,node:X:child:PronType=Rel,node:CLH:own:rel_shallow=root</t>
  </si>
  <si>
    <t>node:CLH:own:Tense=Past,node:X:child:Definite=Def,sentence:meta:period=1700_1749</t>
  </si>
  <si>
    <t>node:CLH:own:Tense=Past,node:CLH:own:VerbForm=Fin,sentence:meta:period=1700_1749</t>
  </si>
  <si>
    <t>node:CLH:own:Tense=Past,node:X:own:Voice=Act,sentence:meta:period=1700_1749</t>
  </si>
  <si>
    <t>node:CLH:own:Tense=Past,sentence:meta:period=1700_1749</t>
  </si>
  <si>
    <t>node:X:child:Gender=Neut,node:CLH:own:Number=Sing,sentence:meta:period=1700_1749</t>
  </si>
  <si>
    <t>node:CLH:own:Tense=Pres,node:X:child:PronType=Int</t>
  </si>
  <si>
    <t>node:CLH:own:Definite=Ind,node:CLH:own:Gender=Com,sentence:meta:period=1900_1950</t>
  </si>
  <si>
    <t>node:X:child:Definite=Def,node:CLH:own:rel_shallow=ccomp,sentence:meta:period=1850_1899</t>
  </si>
  <si>
    <t>node:CLH:own:Gender=Neut,node:X:child:Case=Acc,node:CLH:own:Case=Nom</t>
  </si>
  <si>
    <t>node:X:child:Definite=Ind,node:CLH:own:rel_shallow=root,sentence:meta:period=1700_1749</t>
  </si>
  <si>
    <t>node:X:child:Case=Acc,node:X:child:Number=Plur,node:CLH:own:Case=Nom</t>
  </si>
  <si>
    <t>node:X:child:Gender=Com,node:CLH:own:rel_shallow=root,sentence:meta:period=1700_1749</t>
  </si>
  <si>
    <t>node:X:child:Number=Sing,node:CLH:own:rel_shallow=root,sentence:meta:period=1700_1749</t>
  </si>
  <si>
    <t>node:X:child:PronType=Prs,node:X:child:Definite=Def,sentence:meta:period=1700_1749</t>
  </si>
  <si>
    <t>node:X:own:Voice=Act,node:X:child:Definite=Def,sentence:meta:period=1700_1749</t>
  </si>
  <si>
    <t>node:X:child:Definite=Ind,sentence:meta:period=1700_1749</t>
  </si>
  <si>
    <t>node:X:child:Definite=Def,sentence:meta:period=1700_1749</t>
  </si>
  <si>
    <t>node:CLH:own:Voice=Act,node:X:child:PronType=Prs,node:CLH:own:Mood=Imp</t>
  </si>
  <si>
    <t>node:X:child:PronType=Prs,node:CLH:own:Mood=Imp,node:CLH:own:VerbForm=Fin</t>
  </si>
  <si>
    <t>node:CLH:own:Tense=Pres,node:CLH:own:rel_shallow=acl:relcl</t>
  </si>
  <si>
    <t>node:X:child:Gender=Com,node:CLH:own:VerbForm=Inf,node:CLH:own:rel_shallow=ccomp</t>
  </si>
  <si>
    <t>node:X:child:Case=Nom,node:X:own:Voice=Act,sentence:meta:period=1700_1749</t>
  </si>
  <si>
    <t>node:CLH:own:Definite=Ind,node:X:child:Number=Plur,sentence:meta:period=1850_1899</t>
  </si>
  <si>
    <t>node:CLH:own:Tense=Pres,node:X:child:Definite=Ind,node:CLH:own:rel_shallow=advcl</t>
  </si>
  <si>
    <t>node:X:child:PronType=Int,node:CLH:own:Mood=Ind</t>
  </si>
  <si>
    <t>node:X:child:PronType=Int,node:CLH:own:VerbForm=Fin</t>
  </si>
  <si>
    <t>node:X:child:PronType=Int,node:X:child:Definite=Ind,node:CLH:own:VerbForm=Fin</t>
  </si>
  <si>
    <t>node:X:child:Case=Nom,node:X:own:Voice=Act,node:X:child:Degree=Sup</t>
  </si>
  <si>
    <t>node:X:own:Voice=Act,node:X:child:Definite=Def,node:X:child:Degree=Sup</t>
  </si>
  <si>
    <t>node:X:child:Case=Acc,node:X:child:Definite=Ind,sentence:meta:period=1700_1749</t>
  </si>
  <si>
    <t>node:X:child:Polarity=Neg,node:CLH:own:Voice=Act,node:CLH:own:rel_shallow=conj</t>
  </si>
  <si>
    <t>node:X:child:Number=Plur,node:X:child:Gender=Com,node:CLH:own:Number=Plur</t>
  </si>
  <si>
    <t>node:CLH:own:Definite=Ind,node:X:child:Case=Nom,sentence:meta:period=1900_1950</t>
  </si>
  <si>
    <t>node:X:child:Case=Acc,node:X:child:Number=Sing,sentence:meta:period=1700_1749</t>
  </si>
  <si>
    <t>node:X:own:Voice=Act,node:CLH:own:VerbForm=Sup,sentence:meta:period=1700_1749</t>
  </si>
  <si>
    <t>node:CLH:own:Tense=Past,sentence:meta:period=1750_1799</t>
  </si>
  <si>
    <t>node:X:child:Case=Nom,node:X:child:PronType=Ind,node:X:child:Gender=Neut</t>
  </si>
  <si>
    <t>node:CLH:own:Voice=Act,node:X:child:PronType=Dem,node:X:child:Gender=Com</t>
  </si>
  <si>
    <t>node:X:child:Definite=Def,node:CLH:own:Number=Sing,sentence:meta:period=1750_1799</t>
  </si>
  <si>
    <t>node:CLH:own:Tense=Pres,node:X:child:Polarity=Neg,node:X:child:Gender=Com</t>
  </si>
  <si>
    <t>node:CLH:own:Gender=Neut,node:X:child:Gender=Neut,node:CLH:own:rel_shallow=root</t>
  </si>
  <si>
    <t>node:CLH:own:Voice=Act,node:X:child:PronType=Dem,node:X:own:Voice=Act</t>
  </si>
  <si>
    <t>node:CLH:own:Definite=Ind,node:CLH:own:Number=Sing,sentence:meta:period=1750_1799</t>
  </si>
  <si>
    <t>node:X:child:PronType=Ind,node:X:child:Gender=Com,node:CLH:own:VerbForm=Fin</t>
  </si>
  <si>
    <t>node:CLH:own:Voice=Act,node:CLH:own:Mood=Ind,sentence:meta:period=1750_1799</t>
  </si>
  <si>
    <t>node:CLH:own:Gender=Com,node:X:own:Voice=Act,node:CLH:own:rel_shallow=obl</t>
  </si>
  <si>
    <t>node:CLH:own:Voice=Act,node:CLH:own:VerbForm=Fin,sentence:meta:period=1750_1799</t>
  </si>
  <si>
    <t>node:CLH:own:Tense=Pres,node:CLH:own:Voice=Act,sentence:meta:period=1700_1749</t>
  </si>
  <si>
    <t>node:CLH:own:Voice=Act,node:X:child:Definite=Ind,node:CLH:own:rel_shallow=ccomp</t>
  </si>
  <si>
    <t>node:CLH:own:Voice=Act,node:X:child:Number=Sing,sentence:meta:period=1800_1849</t>
  </si>
  <si>
    <t>node:X:child:Case=Nom,node:X:child:Gender=Com,sentence:meta:period=1800_1849</t>
  </si>
  <si>
    <t>node:CLH:own:Gender=Com,node:X:child:Case=Nom,node:CLH:own:Degree=Pos</t>
  </si>
  <si>
    <t>node:CLH:own:Voice=Act,node:CLH:own:rel_shallow=root,sentence:meta:period=1750_1799</t>
  </si>
  <si>
    <t>node:CLH:own:Tense=Past,node:X:child:Case=Acc,sentence:meta:period=1850_1899</t>
  </si>
  <si>
    <t>node:X:child:Gender=Com,node:CLH:own:Number=Sing,node:CLH:own:rel_shallow=obj</t>
  </si>
  <si>
    <t>node:X:child:Number=Sing,node:X:child:Gender=Neut,sentence:meta:period=1800_1849</t>
  </si>
  <si>
    <t>node:X:child:Definite=Def,node:X:child:Gender=Neut,node:CLH:own:rel_shallow=advcl</t>
  </si>
  <si>
    <t>node:CLH:own:Tense=Pres,node:X:child:Gender=Neut,sentence:meta:period=1700_1749</t>
  </si>
  <si>
    <t>node:X:child:Case=Nom,node:X:child:PronType=Prs,node:CLH:own:rel_shallow=advcl</t>
  </si>
  <si>
    <t>node:CLH:own:Voice=Act,node:X:own:Voice=Act,sentence:meta:period=1750_1799</t>
  </si>
  <si>
    <t>node:CLH:own:Voice=Pass,node:CLH:own:Mood=Ind,node:CLH:own:rel_shallow=root</t>
  </si>
  <si>
    <t>node:CLH:own:Voice=Pass,node:CLH:own:VerbForm=Fin,node:CLH:own:rel_shallow=root</t>
  </si>
  <si>
    <t>node:X:child:Definite=Def,node:CLH:own:rel_shallow=root,sentence:meta:period=1750_1799</t>
  </si>
  <si>
    <t>node:X:child:Case=Acc,node:X:child:Gender=Neut,sentence:meta:period=1850_1899</t>
  </si>
  <si>
    <t>node:X:child:Number=Plur,node:CLH:own:rel_shallow=root,sentence:meta:period=1900_1950</t>
  </si>
  <si>
    <t>node:X:child:Definite=Ind,node:X:child:Gender=Com,node:CLH:own:rel_shallow=parataxis</t>
  </si>
  <si>
    <t>node:CLH:own:Gender=Com,node:X:child:Case=Acc,node:X:child:Definite=Ind</t>
  </si>
  <si>
    <t>node:X:child:Number=Plur,node:CLH:own:rel_shallow=root,sentence:meta:period=1800_1849</t>
  </si>
  <si>
    <t>node:X:child:Definite=Def,node:X:child:Gender=Com,node:X:child:NumType=Card</t>
  </si>
  <si>
    <t>node:X:child:Gender=Com,node:CLH:own:VerbForm=Fin,sentence:meta:period=1750_1799</t>
  </si>
  <si>
    <t>node:X:child:Gender=Com,node:CLH:own:VerbForm=Inf,sentence:meta:period=1850_1899</t>
  </si>
  <si>
    <t>node:CLH:own:Voice=Act,node:X:child:Gender=Com,node:CLH:own:rel_shallow=parataxis</t>
  </si>
  <si>
    <t>node:X:child:PronType=Prs,node:X:child:Number=Plur,node:X:child:Degree=Pos</t>
  </si>
  <si>
    <t>node:CLH:own:Voice=Act,node:X:child:Gender=Neut,node:CLH:own:rel_shallow=acl:relcl</t>
  </si>
  <si>
    <t>node:CLH:own:Gender=Neut,node:X:child:Definite=Def,node:CLH:own:rel_shallow=root</t>
  </si>
  <si>
    <t>node:X:child:Number=Sing,node:X:child:Gender=Com,sentence:meta:period=1750_1799</t>
  </si>
  <si>
    <t>node:CLH:own:Tense=Pres,node:CLH:own:rel_shallow=root,sentence:meta:period=1850_1899</t>
  </si>
  <si>
    <t>node:X:child:PronType=Prs,node:CLH:own:Case=Nom,node:CLH:own:rel_shallow=parataxis</t>
  </si>
  <si>
    <t>node:X:child:Polarity=Neg,node:X:child:Definite=Def,node:X:child:Gender=Neut</t>
  </si>
  <si>
    <t>node:CLH:own:Definite=Ind,node:CLH:own:Gender=Neut,node:X:child:Gender=Neut</t>
  </si>
  <si>
    <t>node:CLH:own:Tense=Past,node:X:child:Definite=Def,sentence:meta:period=1900_1950</t>
  </si>
  <si>
    <t>node:X:child:Case=Nom,node:CLH:own:Degree=Pos</t>
  </si>
  <si>
    <t>node:X:child:Gender=Com,node:X:child:Degree=Pos,node:CLH:own:rel_shallow=conj</t>
  </si>
  <si>
    <t>node:X:child:Gender=Neut,node:CLH:own:VerbForm=Fin,sentence:meta:period=1900_1950</t>
  </si>
  <si>
    <t>node:X:child:PronType=Prs,node:X:child:Number=Sing,sentence:meta:period=1750_1799</t>
  </si>
  <si>
    <t>node:CLH:own:Tense=Past,node:CLH:own:Voice=Act,node:CLH:own:rel_shallow=advcl</t>
  </si>
  <si>
    <t>node:CLH:own:Tense=Past,node:CLH:own:VerbForm=Fin,node:CLH:own:rel_shallow=advcl</t>
  </si>
  <si>
    <t>node:X:child:Case=Nom,node:X:child:PronType=Ind,node:X:own:Voice=Act</t>
  </si>
  <si>
    <t>node:CLH:own:Gender=Com,node:X:child:PronType=Prs,node:X:child:Definite=Ind</t>
  </si>
  <si>
    <t>node:CLH:own:Mood=Ind,node:CLH:own:rel_shallow=conj,sentence:meta:period=1700_1749</t>
  </si>
  <si>
    <t>node:CLH:own:Gender=Neut,node:X:child:Definite=Ind,node:X:child:Gender=Com</t>
  </si>
  <si>
    <t>node:X:child:Definite=Def,node:X:child:Degree=Pos,node:CLH:own:rel_shallow=root</t>
  </si>
  <si>
    <t>node:CLH:own:Voice=Act,node:X:child:Degree=Pos,sentence:meta:period=1850_1899</t>
  </si>
  <si>
    <t>node:X:child:Gender=Neut,node:CLH:own:VerbForm=Inf,sentence:meta:period=1900_1950</t>
  </si>
  <si>
    <t>node:CLH:own:Tense=Past,node:X:child:Number=Sing,sentence:meta:period=1850_1899</t>
  </si>
  <si>
    <t>node:X:child:Case=Nom,node:X:child:Definite=Def,node:CLH:own:VerbForm=Sup</t>
  </si>
  <si>
    <t>node:X:child:Number=Plur,node:X:child:Gender=Neut,node:X:child:Degree=Pos</t>
  </si>
  <si>
    <t>node:CLH:own:Definite=Ind,node:CLH:own:Gender=Neut,node:X:child:Gender=Com</t>
  </si>
  <si>
    <t>node:CLH:own:Tense=Past,node:X:child:Case=Acc,node:X:own:Voice=Act</t>
  </si>
  <si>
    <t>node:X:child:PronType=Prs,node:X:child:Gender=Neut,node:CLH:own:VerbForm=Fin</t>
  </si>
  <si>
    <t>node:CLH:own:Tense=Past,node:X:child:Case=Acc,node:X:child:Definite=Ind</t>
  </si>
  <si>
    <t>node:X:child:Number=Plur,node:X:own:Voice=Pass,node:X:child:Definite=Def</t>
  </si>
  <si>
    <t>node:X:child:Degree=Pos,node:CLH:own:VerbForm=Sup,sentence:meta:period=1750_1799</t>
  </si>
  <si>
    <t>node:X:child:Number=Plur,node:X:own:Voice=Act,node:CLH:own:Case=Nom</t>
  </si>
  <si>
    <t>node:X:own:Voice=Act,node:X:child:Definite=Ind,node:CLH:own:rel_shallow=ccomp</t>
  </si>
  <si>
    <t>node:X:child:Definite=Ind,node:X:child:Gender=Neut,node:CLH:own:VerbForm=Fin</t>
  </si>
  <si>
    <t>node:X:child:Case=Acc,node:X:own:Voice=Act,node:CLH:own:rel_shallow=root</t>
  </si>
  <si>
    <t>node:X:child:Definite=Ind,node:X:child:Gender=Com,node:CLH:own:Case=Nom</t>
  </si>
  <si>
    <t>node:CLH:own:Voice=Act,node:X:child:Gender=Neut,sentence:meta:period=1900_1950</t>
  </si>
  <si>
    <t>node:X:child:Number=Plur,node:X:child:Gender=Neut,sentence:meta:period=1850_1899</t>
  </si>
  <si>
    <t>node:CLH:own:Mood=Ind,node:X:child:Definite=Ind,node:X:child:Gender=Neut</t>
  </si>
  <si>
    <t>node:CLH:own:Tense=Past,node:X:own:Voice=Act,node:CLH:own:rel_shallow=root</t>
  </si>
  <si>
    <t>node:X:child:Definite=Ind,node:CLH:own:rel_shallow=root,sentence:meta:period=1900_1950</t>
  </si>
  <si>
    <t>node:X:child:Number=Sing,node:CLH:own:VerbForm=Sup,node:CLH:own:rel_shallow=advcl</t>
  </si>
  <si>
    <t>node:CLH:own:Voice=Act,node:X:child:Number=Plur,sentence:meta:period=1900_1950</t>
  </si>
  <si>
    <t>node:X:own:Voice=Act,node:X:child:Gender=Com,node:CLH:own:rel_shallow=advcl</t>
  </si>
  <si>
    <t>node:X:child:Case=Acc,node:X:child:Number=Sing,node:CLH:own:VerbForm=Fin</t>
  </si>
  <si>
    <t>node:CLH:own:Gender=Com,node:X:child:PronType=Prs,node:X:child:Number=Plur</t>
  </si>
  <si>
    <t>node:X:child:Case=Acc,node:X:child:Gender=Com,sentence:meta:period=1800_1849</t>
  </si>
  <si>
    <t>node:X:child:Definite=Ind,node:CLH:own:rel_shallow=conj,sentence:meta:period=1750_1799</t>
  </si>
  <si>
    <t>node:X:child:Case=Acc,node:X:child:Number=Plur,node:X:child:Gender=Com</t>
  </si>
  <si>
    <t>node:X:child:PronType=Prs,node:X:child:Gender=Neut,node:CLH:own:rel_shallow=root</t>
  </si>
  <si>
    <t>node:X:child:Number=Sing,node:X:child:Gender=Neut,node:CLH:own:rel_shallow=root</t>
  </si>
  <si>
    <t>node:X:child:Number=Plur,node:X:child:Gender=Com,node:CLH:own:rel_shallow=root</t>
  </si>
  <si>
    <t>node:CLH:own:Mood=Ind,node:X:child:Definite=Ind,sentence:meta:period=1900_1950</t>
  </si>
  <si>
    <t>node:X:own:Voice=Act,node:CLH:own:rel_shallow=parataxis,sentence:meta:period=1900_1950</t>
  </si>
  <si>
    <t>node:CLH:own:Gender=Com,node:X:child:Case=Nom,node:X:child:PronType=Prs</t>
  </si>
  <si>
    <t>node:X:child:Case=Nom,node:CLH:own:VerbForm=Inf,node:CLH:own:rel_shallow=root</t>
  </si>
  <si>
    <t>node:CLH:own:Tense=Past,node:X:child:Number=Plur,sentence:meta:period=1900_1950</t>
  </si>
  <si>
    <t>node:X:child:PronType=Prs,node:X:child:Gender=Com,node:CLH:own:rel_shallow=acl:relcl</t>
  </si>
  <si>
    <t>node:X:child:Number=Sing,node:X:child:Definite=Ind,node:CLH:own:rel_shallow=acl:relcl</t>
  </si>
  <si>
    <t>node:CLH:own:VerbForm=Fin,node:CLH:own:rel_shallow=root</t>
  </si>
  <si>
    <t>node:CLH:own:Tense=Past,node:X:child:Number=Plur,node:X:child:Definite=Def</t>
  </si>
  <si>
    <t>node:X:child:Case=Acc,node:X:child:Number=Sing,node:CLH:own:VerbForm=Inf</t>
  </si>
  <si>
    <t>node:X:child:Polarity=Neg,node:CLH:own:Mood=Ind,node:X:child:Definite=Ind</t>
  </si>
  <si>
    <t>node:X:child:PronType=Prs,node:X:child:Number=Sing,sentence:meta:period=1850_1899</t>
  </si>
  <si>
    <t>node:CLH:own:Tense=Pres,node:CLH:own:rel_shallow=root,sentence:meta:period=1750_1799</t>
  </si>
  <si>
    <t>node:X:child:Definite=Def,node:X:child:Gender=Neut,node:CLH:own:rel_shallow=root</t>
  </si>
  <si>
    <t>node:CLH:own:Voice=Act,node:X:child:Definite=Def,node:X:child:Degree=Pos</t>
  </si>
  <si>
    <t>node:CLH:own:Gender=Com,node:X:child:Number=Sing,node:X:child:Definite=Def</t>
  </si>
  <si>
    <t>node:X:child:Definite=Ind,node:X:child:Gender=Com,sentence:meta:period=1850_1899</t>
  </si>
  <si>
    <t>node:X:child:PronType=Prs,node:X:child:Number=Plur,sentence:meta:period=1900_1950</t>
  </si>
  <si>
    <t>node:X:child:Degree=Pos,sentence:meta:period=1900_1950</t>
  </si>
  <si>
    <t>node:X:own:Voice=Act,node:CLH:own:VerbForm=Fin,sentence:meta:period=1900_1950</t>
  </si>
  <si>
    <t>node:X:child:Case=Acc,node:X:child:Definite=Ind,node:CLH:own:rel_shallow=conj</t>
  </si>
  <si>
    <t>node:X:child:Case=Nom,node:CLH:own:Voice=Act,node:X:child:Degree=Pos</t>
  </si>
  <si>
    <t>node:X:child:Case=Acc,node:CLH:own:Voice=Act,node:CLH:own:VerbForm=Inf</t>
  </si>
  <si>
    <t>node:CLH:own:Voice=Act,node:CLH:own:rel_shallow=root,sentence:meta:period=1800_1849</t>
  </si>
  <si>
    <t>node:X:child:Number=Sing,node:X:child:Gender=Neut,sentence:meta:period=1750_1799</t>
  </si>
  <si>
    <t>node:X:child:Number=Sing,node:X:child:Gender=Com,node:CLH:own:rel_shallow=acl:relcl</t>
  </si>
  <si>
    <t>node:X:child:Definite=Def,sentence:meta:period=1900_1950</t>
  </si>
  <si>
    <t>node:X:child:PronType=Prs,node:X:child:Definite=Ind,node:CLH:own:Number=Sing</t>
  </si>
  <si>
    <t>node:CLH:own:Voice=Act,node:X:own:Voice=Act,node:CLH:own:rel_shallow=advcl</t>
  </si>
  <si>
    <t>node:X:child:Case=Nom,node:X:child:PronType=Prs,node:CLH:own:rel_shallow=parataxis</t>
  </si>
  <si>
    <t>node:CLH:own:Voice=Act,node:CLH:own:VerbForm=Fin,sentence:meta:period=1850_1899</t>
  </si>
  <si>
    <t>node:X:child:Definite=Ind,node:CLH:own:rel_shallow=root,sentence:meta:period=1800_1849</t>
  </si>
  <si>
    <t>node:X:own:Voice=Act,node:X:child:Definite=Def,sentence:meta:period=1900_1950</t>
  </si>
  <si>
    <t>node:X:child:Definite=Ind,node:X:child:Degree=Pos,node:CLH:own:VerbForm=Fin</t>
  </si>
  <si>
    <t>node:X:child:PronType=Prs,node:X:own:Voice=Act,node:X:child:Gender=Neut</t>
  </si>
  <si>
    <t>node:X:child:Number=Sing,node:X:own:Voice=Act,node:X:child:Gender=Neut</t>
  </si>
  <si>
    <t>node:CLH:own:Voice=Act,node:X:own:Voice=Act,node:CLH:own:rel_shallow=root</t>
  </si>
  <si>
    <t>node:X:own:Voice=Act,node:X:child:Definite=Ind,node:X:child:Gender=Neut</t>
  </si>
  <si>
    <t>node:X:child:Definite=Def,node:CLH:own:rel_shallow=root,sentence:meta:period=1850_1899</t>
  </si>
  <si>
    <t>node:X:child:Number=Sing,node:X:child:Definite=Ind,node:X:child:Gender=Neut</t>
  </si>
  <si>
    <t>node:CLH:own:Mood=Ind,node:X:own:Voice=Act,node:CLH:own:VerbForm=Fin</t>
  </si>
  <si>
    <t>node:X:child:Case=Nom,node:X:child:Degree=Pos,node:CLH:own:VerbForm=Sup</t>
  </si>
  <si>
    <t>node:CLH:own:Voice=Act,node:CLH:own:rel_shallow=root</t>
  </si>
  <si>
    <t>node:X:child:PronType=Prs,node:X:child:Number=Sing,node:X:child:Gender=Neut</t>
  </si>
  <si>
    <t>node:X:own:Voice=Act,node:X:child:Gender=Com,sentence:meta:period=1900_1950</t>
  </si>
  <si>
    <t>node:CLH:own:Tense=Pres,node:CLH:own:rel_shallow=root,sentence:meta:period=1900_1950</t>
  </si>
  <si>
    <t>node:CLH:own:Tense=Past,node:X:child:PronType=Prs,node:X:child:Definite=Ind</t>
  </si>
  <si>
    <t>node:X:own:Voice=Act,node:CLH:own:rel_shallow=root</t>
  </si>
  <si>
    <t>node:CLH:own:Voice=Act,node:X:own:Voice=Act,sentence:meta:period=1900_1950</t>
  </si>
  <si>
    <t>node:CLH:own:Voice=Act,node:CLH:own:Mood=Ind,node:X:child:Number=Plur</t>
  </si>
  <si>
    <t>node:X:child:Number=Plur,node:X:child:Definite=Ind,node:CLH:own:VerbForm=Fin</t>
  </si>
  <si>
    <t>node:X:child:Case=Acc,node:X:child:PronType=Prs,node:X:own:Voice=Act</t>
  </si>
  <si>
    <t>node:X:own:Voice=Act,node:X:child:Definite=Def,node:X:child:Degree=Pos</t>
  </si>
  <si>
    <t>node:X:child:Number=Plur,node:X:child:Gender=Com,sentence:meta:period=1850_1899</t>
  </si>
  <si>
    <t>node:X:child:Case=Nom,node:CLH:own:Voice=Act,sentence:meta:period=1850_1899</t>
  </si>
  <si>
    <t>node:X:child:PronType=Prs,node:X:child:Gender=Neut,sentence:meta:period=1750_1799</t>
  </si>
  <si>
    <t>node:X:child:Case=Acc,node:X:child:Definite=Ind,node:CLH:own:VerbForm=Sup</t>
  </si>
  <si>
    <t>node:CLH:own:Tense=Pres,node:CLH:own:Mood=Ind,node:CLH:own:VerbForm=Fin</t>
  </si>
  <si>
    <t>node:X:child:Number=Sing,node:CLH:own:VerbForm=Inf,sentence:meta:period=1750_1799</t>
  </si>
  <si>
    <t>node:CLH:own:Definite=Ind,node:X:child:Number=Sing,sentence:meta:period=1800_1849</t>
  </si>
  <si>
    <t>node:X:child:Number=Sing,node:X:child:Definite=Ind,node:CLH:own:VerbForm=Fin</t>
  </si>
  <si>
    <t>node:X:child:Number=Sing,node:X:own:Voice=Act,node:CLH:own:rel_shallow=root</t>
  </si>
  <si>
    <t>node:X:child:Definite=Ind,node:X:child:Gender=Com,node:CLH:own:rel_shallow=root</t>
  </si>
  <si>
    <t>node:X:child:Case=Acc,node:X:child:Number=Sing,node:X:own:Voice=Act</t>
  </si>
  <si>
    <t>node:CLH:own:Tense=Pres,node:CLH:own:Voice=Act,node:X:child:Definite=Ind</t>
  </si>
  <si>
    <t>node:X:child:Gender=Com,node:CLH:own:VerbForm=Fin,node:CLH:own:rel_shallow=conj</t>
  </si>
  <si>
    <t>node:CLH:own:Voice=Act,node:X:child:Gender=Com,node:CLH:own:rel_shallow=conj</t>
  </si>
  <si>
    <t>node:CLH:own:Voice=Act,node:X:child:Definite=Def,node:X:child:Gender=Neut</t>
  </si>
  <si>
    <t>node:CLH:own:Gender=Com,node:X:own:Voice=Act,node:X:child:Gender=Com</t>
  </si>
  <si>
    <t>node:X:child:PronType=Prs,node:X:own:Voice=Act,node:CLH:own:Case=Nom</t>
  </si>
  <si>
    <t>node:X:child:Definite=Ind,node:CLH:own:VerbForm=Sup,sentence:meta:period=1850_1899</t>
  </si>
  <si>
    <t>node:X:child:PronType=Prs,node:CLH:own:Mood=Ind,node:X:child:Definite=Def</t>
  </si>
  <si>
    <t>node:X:child:Number=Plur,node:X:child:Gender=Neut,node:CLH:own:rel_shallow=root</t>
  </si>
  <si>
    <t>node:X:child:Case=Nom,node:X:child:Gender=Neut,node:CLH:own:VerbForm=Inf</t>
  </si>
  <si>
    <t>node:X:child:PronType=Prs,node:X:child:Number=Plur,node:X:child:Gender=Com</t>
  </si>
  <si>
    <t>node:X:child:Definite=Ind,node:CLH:own:VerbForm=Fin,sentence:meta:period=1850_1899</t>
  </si>
  <si>
    <t>node:X:child:Definite=Ind,node:X:child:Gender=Com,node:CLH:own:VerbForm=Fin</t>
  </si>
  <si>
    <t>node:X:child:Number=Sing,node:X:child:Definite=Ind,node:CLH:own:rel_shallow=conj</t>
  </si>
  <si>
    <t>node:CLH:own:Tense=Past,node:X:child:PronType=Prs,node:CLH:own:Mood=Ind</t>
  </si>
  <si>
    <t>node:CLH:own:Number=Sing,node:CLH:own:Case=Nom,sentence:meta:period=1850_1899</t>
  </si>
  <si>
    <t>node:CLH:own:Definite=Ind,node:X:child:PronType=Prs,node:CLH:own:Degree=Pos</t>
  </si>
  <si>
    <t>node:X:child:Number=Plur,node:X:child:Definite=Def,node:X:child:Gender=Com</t>
  </si>
  <si>
    <t>node:X:child:Case=Nom,node:X:child:Definite=Ind,node:X:child:Gender=Com</t>
  </si>
  <si>
    <t>node:X:own:Voice=Act,node:CLH:own:Number=Sing,node:CLH:own:Case=Nom</t>
  </si>
  <si>
    <t>node:CLH:own:Mood=Ind,node:CLH:own:rel_shallow=conj</t>
  </si>
  <si>
    <t>node:CLH:own:Mood=Ind,node:CLH:own:VerbForm=Fin,node:CLH:own:rel_shallow=conj</t>
  </si>
  <si>
    <t>node:X:child:Case=Nom,node:X:child:Number=Sing,node:X:child:Definite=Def</t>
  </si>
  <si>
    <t>node:X:child:PronType=Prs,node:X:child:Number=Plur,node:X:child:Definite=Ind</t>
  </si>
  <si>
    <t>node:X:child:Number=Sing,node:X:child:Gender=Com,node:CLH:own:VerbForm=Inf</t>
  </si>
  <si>
    <t>node:X:child:PronType=Prs,node:X:own:Voice=Act</t>
  </si>
  <si>
    <t>node:CLH:own:Voice=Act,node:X:own:Voice=Act,sentence:meta:period=1850_1899</t>
  </si>
  <si>
    <t>node:CLH:own:Definite=Ind,node:CLH:own:Gender=Com,node:X:own:Voice=Act</t>
  </si>
  <si>
    <t>node:CLH:own:Voice=Act,node:X:child:Number=Sing,node:X:child:Gender=Com</t>
  </si>
  <si>
    <t>node:X:child:Case=Acc,node:CLH:own:Voice=Act,node:X:child:Gender=Neut</t>
  </si>
  <si>
    <t>node:CLH:own:Tense=Pres,node:X:child:Number=Sing,node:X:child:Definite=Def</t>
  </si>
  <si>
    <t>node:CLH:own:Definite=Ind,node:X:child:PronType=Prs,node:X:child:Gender=Com</t>
  </si>
  <si>
    <t>node:CLH:own:Gender=Com,node:X:own:Voice=Act,node:CLH:own:Case=Nom</t>
  </si>
  <si>
    <t>node:X:child:Case=Nom,node:X:child:Number=Plur,node:X:child:Gender=Com</t>
  </si>
  <si>
    <t>node:CLH:own:Mood=Ind,node:X:child:Number=Plur,node:CLH:own:rel_shallow=root</t>
  </si>
  <si>
    <t>node:CLH:own:Voice=Act,node:X:child:PronType=Prs,node:X:child:Definite=Ind</t>
  </si>
  <si>
    <t>node:CLH:own:Voice=Act,node:X:child:PronType=Prs,node:X:child:Gender=Com</t>
  </si>
  <si>
    <t>node:X:child:Case=Nom,node:CLH:own:Voice=Act,node:X:child:PronType=Prs</t>
  </si>
  <si>
    <t>node:CLH:own:Tense=Pres,node:X:child:Case=Nom,node:CLH:own:rel_shallow=root</t>
  </si>
  <si>
    <t>node:CLH:own:Voice=Act,node:X:child:PronType=Prs,node:X:child:Definite=Def</t>
  </si>
  <si>
    <t>Cohen_w</t>
  </si>
  <si>
    <t>sent_id: 1900_1950_165_sec1018 | rules: sentence:meta:period=1900_1950, node:X:own:Voice=Act, node:X:child:VerbForm={'Fin'}, node:X:child:Case={'Nom'}, node:X:child:Definite={'Def'}, node:X:child:Gender={'Neut'}, node:X:child:Number={'Sing'}, node:CLH:own:Mood=Ind, node:CLH:own:Tense=Past, node:CLH:own:VerbForm=Fin, node:CLH:own:Voice=Pass, node:CLH:own:rel_shallow=root</t>
  </si>
  <si>
    <t>sent_id: 1900_1950_269_sec1018 | rules: sentence:meta:period=1900_1950, node:X:own:Voice=Act, node:X:child:VerbForm={'Fin'}, node:X:child:Case={'Nom'}, node:X:child:Definite={'Def'}, node:X:child:Gender={'Com'}, node:X:child:Number={'Plur', 'Sing'}, node:X:child:PronType={'Prs'}, node:CLH:own:Mood=Ind, node:CLH:own:Tense=Past, node:CLH:own:VerbForm=Fin, node:CLH:own:Voice=Act, node:CLH:own:rel_shallow=root</t>
  </si>
  <si>
    <t>sent_id: 1900_1950_373_sec1018 | rules: sentence:meta:period=1900_1950, node:X:own:Voice=Act, node:X:child:Case={'Nom'}, node:X:child:Definite={'Ind'}, node:X:child:Gender={'Com'}, node:X:child:Number={'Sing'}, node:X:child:VerbForm={'Fin'}, node:CLH:own:Mood=Ind, node:CLH:own:Tense=Pres, node:CLH:own:VerbForm=Fin, node:CLH:own:Voice=Act, node:CLH:own:rel_shallow=root</t>
  </si>
  <si>
    <t>sent_id: 1900_1950_172_sec1033 | rules: sentence:meta:period=1900_1950, node:X:own:Voice=Act, node:X:child:VerbForm={'Fin', 'Inf'}, node:X:child:Case={'Nom', 'Acc'}, node:X:child:Definite={'Def', 'Ind'}, node:X:child:Gender={'Com', 'Neut'}, node:X:child:Number={'Sing'}, node:X:child:PronType={'Prs'}, node:CLH:own:VerbForm=Sup, node:CLH:own:Voice=Act, node:CLH:own:rel_shallow=root</t>
  </si>
  <si>
    <t>sent_id: 1900_1950_260_sec1033 | rules: sentence:meta:period=1900_1950, node:X:own:Voice=Act, node:X:child:Case={'Nom'}, node:X:child:Definite={'Ind'}, node:X:child:Gender={'Neut'}, node:X:child:Number={'Sing'}, node:X:child:VerbForm={'Inf'}, node:CLH:own:VerbForm=Sup, node:CLH:own:Voice=Act, node:CLH:own:rel_shallow=root</t>
  </si>
  <si>
    <t>sent_id: 1900_1950_270_sec1033 | rules: sentence:meta:period=1900_1950, node:X:own:Voice=Act, node:X:child:Case={'Nom'}, node:X:child:Definite={'Def', 'Ind'}, node:X:child:Gender={'Com'}, node:X:child:Number={'Sing'}, node:X:child:VerbForm={'Fin'}, node:CLH:own:VerbForm=Inf, node:CLH:own:Voice=Act, node:CLH:own:rel_shallow=root</t>
  </si>
  <si>
    <t>sent_id: 1900_1950_305_sec1033 | rules: sentence:meta:period=1900_1950, node:X:own:Voice=Act, node:X:child:VerbForm={'Fin', 'Inf'}, node:CLH:own:Mood=Ind, node:CLH:own:Tense=Past, node:CLH:own:VerbForm=Fin, node:CLH:own:Voice=Act, node:CLH:own:rel_shallow=root</t>
  </si>
  <si>
    <t>sent_id: 1900_1950_344_sec1033 | rules: sentence:meta:period=1900_1950, node:X:own:Voice=Act, node:X:child:Case={'Nom'}, node:X:child:Definite={'Ind'}, node:X:child:Gender={'Com'}, node:X:child:Number={'Sing'}, node:X:child:VerbForm={'Inf'}, node:X:child:Polarity={'Neg'}, node:CLH:own:Mood=Ind, node:CLH:own:Tense=Past, node:CLH:own:VerbForm=Fin, node:CLH:own:Voice=Act, node:CLH:own:rel_shallow=conj</t>
  </si>
  <si>
    <t>sent_id: 1900_1950_952_sec1033 | rules: sentence:meta:period=1900_1950, node:X:own:Voice=Act, node:X:child:Case={'Nom', 'Acc'}, node:X:child:Definite={'Def', 'Ind'}, node:X:child:Gender={'Com', 'Neut'}, node:X:child:Number={'Sing'}, node:X:child:PronType={'Prs'}, node:X:child:VerbForm={'Fin'}, node:CLH:own:Mood=Ind, node:CLH:own:Tense=Pres, node:CLH:own:VerbForm=Fin, node:CLH:own:Voice=Act, node:CLH:own:rel_shallow=root</t>
  </si>
  <si>
    <t>sent_id: 1900_1950_1055_sec1033 | rules: sentence:meta:period=1900_1950, node:X:own:Voice=Act, node:X:child:VerbForm={'Inf'}, node:CLH:own:Mood=Ind, node:CLH:own:Tense=Past, node:CLH:own:VerbForm=Fin, node:CLH:own:Voice=Act, node:CLH:own:rel_shallow=advcl</t>
  </si>
  <si>
    <t>sent_id: 1900_1950_1056_sec1033 | rules: sentence:meta:period=1900_1950, node:X:own:Voice=Act, node:X:child:Case={'Nom', 'Acc'}, node:X:child:Definite={'Def', 'Ind'}, node:X:child:Gender={'Com'}, node:X:child:Number={'Plur', 'Sing'}, node:X:child:VerbForm={'Inf'}, node:X:child:PronType={'Prs'}, node:CLH:own:Case=Nom, node:CLH:own:Definite=Ind, node:CLH:own:Degree=Pos, node:CLH:own:Number=Sing, node:CLH:own:rel_shallow=root</t>
  </si>
  <si>
    <t>sent_id: 1900_1950_1264_sec1033 | rules: sentence:meta:period=1900_1950, node:X:own:Voice=Act, node:X:child:VerbForm={'Sup', 'Inf'}, node:X:child:Degree={'Pos'}, node:X:child:Case={'Nom'}, node:X:child:Definite={'Def'}, node:X:child:Gender={'Com'}, node:X:child:Number={'Plur'}, node:X:child:PronType={'Prs'}, node:CLH:own:VerbForm=Inf, node:CLH:own:Voice=Act, node:CLH:own:rel_shallow=root</t>
  </si>
  <si>
    <t>sent_id: 1900_1950_1361_sec1033 | rules: sentence:meta:period=1900_1950, node:X:own:Voice=Act, node:X:child:VerbForm={'Fin'}, node:X:child:Case={'Nom'}, node:X:child:Definite={'Ind'}, node:X:child:Gender={'Com'}, node:X:child:Number={'Sing'}, node:CLH:own:VerbForm=Inf, node:CLH:own:Voice=Act, node:CLH:own:rel_shallow=advcl</t>
  </si>
  <si>
    <t>sent_id: 1900_1950_1478_sec1033 | rules: sentence:meta:period=1900_1950, node:X:own:Voice=Act, node:X:child:Case={'Nom'}, node:X:child:Definite={'Ind'}, node:X:child:Degree={'Pos'}, node:X:child:Gender={'Com'}, node:X:child:Number={'Sing'}, node:X:child:VerbForm={'Inf'}, node:CLH:own:VerbForm=Inf, node:CLH:own:Voice=Act, node:CLH:own:rel_shallow=conj</t>
  </si>
  <si>
    <t>sent_id: 1900_1950_1554_sec1033 | rules: sentence:meta:period=1900_1950, node:X:own:Voice=Act, node:X:child:Case={'Nom'}, node:X:child:Definite={'Def', 'Ind'}, node:X:child:Gender={'Com', 'Neut'}, node:X:child:Number={'Plur', 'Sing'}, node:X:child:VerbForm={'Fin', 'Inf'}, node:X:child:PronType={'Prs'}, node:CLH:own:Mood=Ind, node:CLH:own:Tense=Pres, node:CLH:own:VerbForm=Fin, node:CLH:own:Voice=Act, node:CLH:own:rel_shallow=conj</t>
  </si>
  <si>
    <t>sent_id: 1900_1950_1566_sec1033 | rules: sentence:meta:period=1900_1950, node:X:own:Voice=Act, node:X:child:Case={'Nom'}, node:X:child:Definite={'Ind'}, node:X:child:Gender={'Com'}, node:X:child:Number={'Plur'}, node:X:child:VerbForm={'Fin'}, node:CLH:own:Mood=Ind, node:CLH:own:Tense=Past, node:CLH:own:VerbForm=Fin, node:CLH:own:Voice=Act, node:CLH:own:rel_shallow=root</t>
  </si>
  <si>
    <t>sent_id: 1900_1950_753_sec397 | rules: sentence:meta:period=1900_1950, node:X:own:Voice=Act, node:X:child:Case={'Nom'}, node:X:child:Definite={'Def'}, node:X:child:Gender={'Com'}, node:X:child:Number={'Plur', 'Sing'}, node:X:child:VerbForm={'Fin', 'Inf'}, node:CLH:own:Mood=Ind, node:CLH:own:Tense=Past, node:CLH:own:VerbForm=Fin, node:CLH:own:Voice=Act, node:CLH:own:rel_shallow=root</t>
  </si>
  <si>
    <t>sent_id: 1900_1950_1127_sec397 | rules: sentence:meta:period=1900_1950, node:X:own:Voice=Act, node:X:child:VerbForm={'Sup', 'Inf'}, node:X:child:Case={'Nom'}, node:CLH:own:Mood=Ind, node:CLH:own:Tense=Past, node:CLH:own:VerbForm=Fin, node:CLH:own:Voice=Act, node:CLH:own:rel_shallow=advcl</t>
  </si>
  <si>
    <t>sent_id: 1900_1950_57_sec609 | rules: sentence:meta:period=1900_1950, node:X:own:Voice=Act, node:X:child:Definite={'Def'}, node:X:child:Number={'Plur'}, node:X:child:PronType={'Prs'}, node:X:child:VerbForm={'Fin'}, node:CLH:own:Case=Nom, node:CLH:own:Definite=Ind, node:CLH:own:Gender=Neut, node:CLH:own:Number=Sing, node:CLH:own:rel_shallow=obl</t>
  </si>
  <si>
    <t>sent_id: 1900_1950_123_sec609 | rules: sentence:meta:period=1900_1950, node:X:own:Voice=Act, node:X:child:Case={'Nom'}, node:X:child:Definite={'Def', 'Ind'}, node:X:child:Gender={'Com', 'Neut'}, node:X:child:Number={'Plur', 'Sing'}, node:X:child:PronType={'Prs'}, node:X:child:VerbForm={'Fin'}, node:CLH:own:VerbForm=Inf, node:CLH:own:Voice=Act, node:CLH:own:rel_shallow=root</t>
  </si>
  <si>
    <t>sent_id: 1900_1950_141_sec609 | rules: sentence:meta:period=1900_1950, node:X:own:Voice=Act, node:X:child:Case={'Nom'}, node:X:child:Definite={'Def', 'Ind'}, node:X:child:Gender={'Com', 'Neut'}, node:X:child:Number={'Sing'}, node:X:child:VerbForm={'Fin'}, node:CLH:own:VerbForm=Inf, node:CLH:own:Voice=Act, node:CLH:own:rel_shallow=root</t>
  </si>
  <si>
    <t>sent_id: 1900_1950_190_sec609 | rules: sentence:meta:period=1900_1950, node:X:own:Voice=Act, node:X:child:VerbForm={'Fin'}, node:X:child:Case={'Nom'}, node:CLH:own:Mood=Ind, node:CLH:own:Tense=Past, node:CLH:own:VerbForm=Fin, node:CLH:own:Voice=Act, node:CLH:own:rel_shallow=root</t>
  </si>
  <si>
    <t>sent_id: 1900_1950_280_sec609 | rules: sentence:meta:period=1900_1950, node:X:own:Voice=Act, node:X:child:VerbForm={'Sup', 'Fin'}, node:X:child:Case={'Nom'}, node:X:child:Definite={'Def'}, node:X:child:Gender={'Com'}, node:X:child:Number={'Sing'}, node:X:child:PronType={'Prs'}, node:CLH:own:Mood=Imp, node:CLH:own:VerbForm=Fin, node:CLH:own:Voice=Act, node:CLH:own:rel_shallow=root</t>
  </si>
  <si>
    <t>sent_id: 1900_1950_292_sec609 | rules: sentence:meta:period=1900_1950, node:X:own:Voice=Act, node:X:child:VerbForm={'Fin'}, node:X:child:Polarity={'Neg'}, node:X:child:Case={'Nom'}, node:CLH:own:VerbForm=Sup, node:CLH:own:Voice=Act, node:CLH:own:rel_shallow=conj</t>
  </si>
  <si>
    <t>sent_id: 1900_1950_294_sec609 | rules: sentence:meta:period=1900_1950, node:X:own:Voice=Act, node:X:child:Case={'Nom', 'Acc'}, node:X:child:Definite={'Def'}, node:X:child:Gender={'Com'}, node:X:child:Number={'Sing'}, node:X:child:PronType={'Prs'}, node:X:child:VerbForm={'Fin'}, node:CLH:own:Case=Nom, node:CLH:own:Definite=Def, node:CLH:own:Gender=Neut, node:CLH:own:Number=Sing, node:CLH:own:rel_shallow=conj</t>
  </si>
  <si>
    <t>sent_id: 1900_1950_528_sec609 | rules: sentence:meta:period=1900_1950, node:X:own:Voice=Act, node:X:child:VerbForm={'Fin', 'Inf'}, node:X:child:Case={'Nom'}, node:X:child:Definite={'Def', 'Ind'}, node:X:child:Gender={'Com'}, node:X:child:Number={'Sing'}, node:X:child:PronType={'Prs'}, node:CLH:own:rel_shallow=root</t>
  </si>
  <si>
    <t>sent_id: 1900_1950_593_sec609 | rules: sentence:meta:period=1900_1950, node:X:own:Voice=Act, node:X:child:Case={'Nom', 'Acc'}, node:X:child:Definite={'Def', 'Ind'}, node:X:child:Gender={'Com'}, node:X:child:Number={'Plur', 'Sing'}, node:X:child:PronType={'Prs'}, node:X:child:VerbForm={'Fin'}, node:CLH:own:Mood=Ind, node:CLH:own:Tense=Pres, node:CLH:own:VerbForm=Fin, node:CLH:own:Voice=Act, node:CLH:own:rel_shallow=conj</t>
  </si>
  <si>
    <t>sent_id: 1900_1950_658_sec609 | rules: sentence:meta:period=1900_1950, node:X:own:Voice=Act, node:X:child:Case={'Nom', 'Acc'}, node:X:child:Definite={'Def', 'Ind'}, node:X:child:Gender={'Com', 'Neut'}, node:X:child:Number={'Plur', 'Sing'}, node:X:child:PronType={'Prs'}, node:X:child:VerbForm={'Fin'}, node:CLH:own:Mood=Ind, node:CLH:own:Tense=Past, node:CLH:own:VerbForm=Fin, node:CLH:own:Voice=Act, node:CLH:own:rel_shallow=root</t>
  </si>
  <si>
    <t>sent_id: 1900_1950_678_sec609 | rules: sentence:meta:period=1900_1950, node:X:own:Voice=Act, node:X:child:Case={'Nom'}, node:X:child:Definite={'Def', 'Ind'}, node:X:child:Gender={'Com', 'Neut'}, node:X:child:Number={'Plur', 'Sing'}, node:X:child:VerbForm={'Fin'}, node:X:child:PronType={'Prs'}, node:CLH:own:Mood=Ind, node:CLH:own:Tense=Past, node:CLH:own:VerbForm=Fin, node:CLH:own:Voice=Act, node:CLH:own:rel_shallow=acl:relcl</t>
  </si>
  <si>
    <t>sent_id: 1900_1950_703_sec609 | rules: sentence:meta:period=1900_1950, node:X:own:Voice=Act, node:X:child:Polarity={'Neg'}, node:X:child:Case={'Nom'}, node:X:child:Definite={'Def'}, node:X:child:Gender={'Com'}, node:X:child:Number={'Sing'}, node:X:child:PronType={'Prs'}, node:X:child:VerbForm={'Fin'}, node:CLH:own:VerbForm=Inf, node:CLH:own:Voice=Act, node:CLH:own:rel_shallow=parataxis</t>
  </si>
  <si>
    <t>sent_id: 1900_1950_704_sec609 | rules: sentence:meta:period=1900_1950, node:X:own:Voice=Act, node:X:child:VerbForm={'Fin'}, node:X:child:Case={'Nom', 'Acc'}, node:X:child:Definite={'Def'}, node:X:child:PronType={'Prs'}, node:X:child:Gender={'Com'}, node:X:child:Number={'Sing'}, node:CLH:own:Mood=Ind, node:CLH:own:Tense=Past, node:CLH:own:VerbForm=Fin, node:CLH:own:Voice=Act, node:CLH:own:rel_shallow=conj</t>
  </si>
  <si>
    <t>sent_id: 1900_1950_769_sec609 | rules: sentence:meta:period=1900_1950, node:X:own:Voice=Act, node:X:child:Case={'Nom'}, node:X:child:Definite={'Ind'}, node:X:child:Gender={'Com'}, node:X:child:Number={'Plur', 'Sing'}, node:X:child:VerbForm={'Fin', 'Inf'}, node:X:child:PronType={'Ind'}, node:CLH:own:VerbForm=Sup, node:CLH:own:Voice=Act, node:CLH:own:rel_shallow=root</t>
  </si>
  <si>
    <t>sent_id: 1900_1950_791_sec609 | rules: sentence:meta:period=1900_1950, node:X:own:Voice=Act, node:X:child:Case={'Nom'}, node:X:child:Definite={'Def', 'Ind'}, node:X:child:Gender={'Com', 'Neut'}, node:X:child:Number={'Sing'}, node:X:child:VerbForm={'Inf'}, node:X:child:PronType={'Prs'}, node:CLH:own:Mood=Ind, node:CLH:own:Tense=Pres, node:CLH:own:VerbForm=Fin, node:CLH:own:Voice=Act, node:CLH:own:rel_shallow=root</t>
  </si>
  <si>
    <t>sent_id: 1900_1950_844_sec609 | rules: sentence:meta:period=1900_1950, node:X:own:Voice=Act, node:X:child:VerbForm={'Fin'}, node:X:child:Definite={'Ind'}, node:X:child:Gender={'Neut'}, node:X:child:Number={'Sing'}, node:X:child:PronType={'Ind'}, node:CLH:own:VerbForm=Inf, node:CLH:own:Voice=Act, node:CLH:own:rel_shallow=conj</t>
  </si>
  <si>
    <t>sent_id: 1900_1950_896_sec609 | rules: sentence:meta:period=1900_1950, node:X:own:Voice=Act, node:X:child:Case={'Nom'}, node:X:child:Definite={'Def', 'Ind'}, node:X:child:Degree={'Pos'}, node:X:child:Gender={'Com', 'Neut'}, node:X:child:Number={'Sing'}, node:X:child:VerbForm={'Fin', 'Inf'}, node:X:child:PronType={'Ind'}, node:CLH:own:Mood=Ind, node:CLH:own:Tense=Pres, node:CLH:own:VerbForm=Fin, node:CLH:own:Voice=Act, node:CLH:own:rel_shallow=conj</t>
  </si>
  <si>
    <t>sent_id: 1900_1950_1017_sec609 | rules: sentence:meta:period=1900_1950, node:X:own:Voice=Act, node:X:child:Case={'Nom'}, node:X:child:Definite={'Def', 'Ind'}, node:X:child:Degree={'Pos'}, node:X:child:Gender={'Com'}, node:X:child:Number={'Plur', 'Sing'}, node:X:child:VerbForm={'Fin'}, node:X:child:PronType={'Prs'}, node:CLH:own:Mood=Ind, node:CLH:own:Tense=Past, node:CLH:own:VerbForm=Fin, node:CLH:own:Voice=Pass, node:CLH:own:rel_shallow=root</t>
  </si>
  <si>
    <t>sent_id: 1900_1950_1096_sec609 | rules: sentence:meta:period=1900_1950, node:X:own:Voice=Act, node:X:child:Case={'Nom'}, node:X:child:Definite={'Def', 'Ind'}, node:X:child:Gender={'Com', 'Neut'}, node:X:child:Number={'Plur', 'Sing'}, node:X:child:VerbForm={'Fin'}, node:X:child:Polarity={'Neg'}, node:X:child:PronType={'Prs'}, node:CLH:own:Mood=Ind, node:CLH:own:Tense=Past, node:CLH:own:VerbForm=Fin, node:CLH:own:Voice=Act, node:CLH:own:rel_shallow=conj</t>
  </si>
  <si>
    <t>sent_id: 1900_1950_1099_sec609 | rules: sentence:meta:period=1900_1950, node:X:own:Voice=Act, node:X:child:VerbForm={'Fin', 'Inf'}, node:X:child:Degree={'Pos'}, node:X:child:Case={'Nom', 'Acc'}, node:X:child:Definite={'Def'}, node:X:child:Gender={'Com'}, node:X:child:Number={'Sing'}, node:X:child:PronType={'Prs'}, node:CLH:own:Mood=Ind, node:CLH:own:Tense=Past, node:CLH:own:VerbForm=Fin, node:CLH:own:Voice=Act, node:CLH:own:rel_shallow=acl:relcl</t>
  </si>
  <si>
    <t>sent_id: 1900_1950_1099_sec609 | rules: sentence:meta:period=1900_1950, node:X:own:Voice=Act, node:X:child:Case={'Nom'}, node:X:child:Definite={'Def'}, node:X:child:Gender={'Com', 'Neut'}, node:X:child:Number={'Sing'}, node:X:child:VerbForm={'Fin'}, node:X:child:PronType={'Prs'}, node:CLH:own:Mood=Ind, node:CLH:own:Tense=Past, node:CLH:own:VerbForm=Fin, node:CLH:own:Voice=Act, node:CLH:own:rel_shallow=conj</t>
  </si>
  <si>
    <t>sent_id: 1900_1950_1158_sec609 | rules: sentence:meta:period=1900_1950, node:X:own:Voice=Act, node:X:child:Case={'Nom', 'Acc'}, node:X:child:Definite={'Def', 'Ind'}, node:X:child:Gender={'Com', 'Neut'}, node:X:child:Number={'Plur', 'Sing'}, node:X:child:PronType={'Prs'}, node:X:child:VerbForm={'Fin'}, node:X:child:Polarity={'Neg'}, node:CLH:own:Mood=Imp, node:CLH:own:VerbForm=Fin, node:CLH:own:Voice=Act, node:CLH:own:rel_shallow=root</t>
  </si>
  <si>
    <t>sent_id: 1900_1950_1160_sec609 | rules: sentence:meta:period=1900_1950, node:X:own:Voice=Act, node:X:child:Case={'Nom'}, node:X:child:Definite={'Def', 'Ind'}, node:X:child:Gender={'Com'}, node:X:child:Number={'Sing'}, node:X:child:VerbForm={'Fin'}, node:X:child:PronType={'Prs'}, node:CLH:own:VerbForm=Inf, node:CLH:own:Voice=Act, node:CLH:own:rel_shallow=root</t>
  </si>
  <si>
    <t>sent_id: 1900_1950_1162_sec609 | rules: sentence:meta:period=1900_1950, node:X:own:Voice=Act, node:X:child:Case={'Nom'}, node:X:child:Definite={'Def', 'Ind'}, node:X:child:Gender={'Com', 'Neut'}, node:X:child:Number={'Plur', 'Sing'}, node:X:child:VerbForm={'Fin'}, node:X:child:PronType={'Prs'}, node:CLH:own:VerbForm=Inf, node:CLH:own:Voice=Act, node:CLH:own:rel_shallow=root</t>
  </si>
  <si>
    <t>sent_id: 1900_1950_1238_sec609 | rules: sentence:meta:period=1900_1950, node:X:own:Voice=Act, node:X:child:VerbForm={'Fin'}, node:X:child:Definite={'Ind'}, node:X:child:Gender={'Com'}, node:X:child:Number={'Sing'}, node:X:child:PronType={'Prs'}, node:CLH:own:Mood=Ind, node:CLH:own:Tense=Pres, node:CLH:own:VerbForm=Fin, node:CLH:own:Voice=Act, node:CLH:own:rel_shallow=root</t>
  </si>
  <si>
    <t>sent_id: 1900_1950_1316_sec609 | rules: sentence:meta:period=1900_1950, node:X:own:Voice=Act, node:X:child:VerbForm={'Fin'}, node:X:child:Case={'Nom'}, node:X:child:Definite={'Def'}, node:X:child:Gender={'Com'}, node:X:child:Number={'Sing'}, node:X:child:PronType={'Prs'}, node:CLH:own:VerbForm=Inf, node:CLH:own:Voice=Act, node:CLH:own:rel_shallow=xcomp</t>
  </si>
  <si>
    <t>sent_id: 1900_1950_1328_sec609 | rules: sentence:meta:period=1900_1950, node:X:own:Voice=Act, node:X:child:Case={'Nom'}, node:X:child:Definite={'Def', 'Ind'}, node:X:child:Gender={'Com'}, node:X:child:Number={'Sing'}, node:X:child:VerbForm={'Fin'}, node:X:child:PronType={'Prs'}, node:CLH:own:Mood=Ind, node:CLH:own:Tense=Pres, node:CLH:own:VerbForm=Fin, node:CLH:own:Voice=Act, node:CLH:own:rel_shallow=ccomp</t>
  </si>
  <si>
    <t>sent_id: 1900_1950_1366_sec609 | rules: sentence:meta:period=1900_1950, node:X:own:Voice=Act, node:X:child:VerbForm={'Sup', 'Fin'}, node:X:child:Polarity={'Neg'}, node:X:child:Case={'Nom'}, node:X:child:Definite={'Def'}, node:X:child:Gender={'Com'}, node:X:child:Number={'Plur'}, node:X:child:PronType={'Prs'}, node:CLH:own:Mood=Imp, node:CLH:own:VerbForm=Fin, node:CLH:own:Voice=Act, node:CLH:own:rel_shallow=root</t>
  </si>
  <si>
    <t>sent_id: 1900_1950_1456_sec609 | rules: sentence:meta:period=1900_1950, node:X:own:Voice=Act, node:X:child:VerbForm={'Fin'}, node:X:child:Definite={'Ind'}, node:X:child:Gender={'Neut'}, node:X:child:Number={'Sing'}, node:X:child:PronType={'Neg'}, node:CLH:own:Mood=Ind, node:CLH:own:Tense=Pres, node:CLH:own:VerbForm=Fin, node:CLH:own:Voice=Act, node:CLH:own:rel_shallow=parataxis</t>
  </si>
  <si>
    <t>sent_id: 1900_1950_1459_sec609 | rules: sentence:meta:period=1900_1950, node:X:own:Voice=Act, node:X:child:Case={'Nom', 'Acc'}, node:X:child:Definite={'Def', 'Ind'}, node:X:child:Gender={'Com', 'Neut'}, node:X:child:Number={'Plur', 'Sing'}, node:X:child:PronType={'Prs'}, node:X:child:VerbForm={'Fin'}, node:CLH:own:Mood=Ind, node:CLH:own:Tense=Pres, node:CLH:own:VerbForm=Fin, node:CLH:own:Voice=Act, node:CLH:own:rel_shallow=dislocated</t>
  </si>
  <si>
    <t>sent_id: 1900_1950_1482_sec609 | rules: sentence:meta:period=1900_1950, node:X:own:Voice=Act, node:X:child:VerbForm={'Sup', 'Fin'}, node:X:child:Case={'Nom'}, node:X:child:Definite={'Ind'}, node:X:child:Gender={'Neut'}, node:X:child:Number={'Plur'}, node:CLH:own:Mood=Ind, node:CLH:own:Tense=Past, node:CLH:own:VerbForm=Fin, node:CLH:own:Voice=Act, node:CLH:own:rel_shallow=root</t>
  </si>
  <si>
    <t>sent_id: 1900_1950_1520_sec609 | rules: sentence:meta:period=1900_1950, node:X:own:Voice=Act, node:X:child:Case={'Nom'}, node:X:child:Definite={'Def', 'Ind'}, node:X:child:Gender={'Com'}, node:X:child:Number={'Plur', 'Sing'}, node:X:child:VerbForm={'Fin'}, node:X:child:PronType={'Prs'}, node:CLH:own:Mood=Ind, node:CLH:own:Tense=Pres, node:CLH:own:VerbForm=Fin, node:CLH:own:Voice=Act, node:CLH:own:rel_shallow=root</t>
  </si>
  <si>
    <t>sent_id: 1900_1950_1529_sec609 | rules: sentence:meta:period=1900_1950, node:X:own:Voice=Act, node:X:child:Case={'Nom'}, node:X:child:Definite={'Ind'}, node:X:child:Gender={'Com'}, node:X:child:Number={'Plur'}, node:X:child:VerbForm={'Fin'}, node:CLH:own:Mood=Ind, node:CLH:own:Tense=Past, node:CLH:own:VerbForm=Fin, node:CLH:own:Voice=Act, node:CLH:own:rel_shallow=root</t>
  </si>
  <si>
    <t>sent_id: 1900_1950_1552_sec609 | rules: sentence:meta:period=1900_1950, node:X:own:Voice=Act, node:X:child:VerbForm={'Fin'}, node:X:child:Case={'Nom'}, node:X:child:Definite={'Def'}, node:X:child:Gender={'Com'}, node:X:child:Number={'Sing'}, node:X:child:PronType={'Prs'}, node:CLH:own:Mood=Ind, node:CLH:own:Tense=Pres, node:CLH:own:VerbForm=Fin, node:CLH:own:Voice=Act, node:CLH:own:rel_shallow=parataxis</t>
  </si>
  <si>
    <t>sent_id: 1900_1950_1553_sec609 | rules: sentence:meta:period=1900_1950, node:X:own:Voice=Act, node:X:child:Definite={'Def', 'Ind'}, node:X:child:Gender={'Com'}, node:X:child:Number={'Sing'}, node:X:child:PronType={'Prs', 'Ind'}, node:X:child:VerbForm={'Fin'}, node:X:child:Case={'Nom'}, node:CLH:own:VerbForm=Inf, node:CLH:own:Voice=Act, node:CLH:own:rel_shallow=root</t>
  </si>
  <si>
    <t>sent_id: 1900_1950_1633_sec609 | rules: sentence:meta:period=1900_1950, node:X:own:Voice=Pass, node:X:child:Case={'Nom'}, node:X:child:Definite={'Def'}, node:X:child:Gender={'Com'}, node:X:child:Number={'Sing'}, node:X:child:VerbForm={'Fin'}, node:X:child:Polarity={'Neg'}, node:X:child:PronType={'Prs'}, node:CLH:own:VerbForm=Inf, node:CLH:own:Voice=Act, node:CLH:own:rel_shallow=root</t>
  </si>
  <si>
    <t>sent_id: 1900_1950_1658_sec609 | rules: sentence:meta:period=1900_1950, node:X:own:Voice=Act, node:X:child:Case={'Nom', 'Acc'}, node:X:child:Definite={'Def', 'Ind'}, node:X:child:Gender={'Com'}, node:X:child:Number={'Plur', 'Sing'}, node:X:child:PronType={'Prs'}, node:X:child:VerbForm={'Fin'}, node:CLH:own:Mood=Ind, node:CLH:own:Tense=Past, node:CLH:own:VerbForm=Fin, node:CLH:own:Voice=Act, node:CLH:own:rel_shallow=root</t>
  </si>
  <si>
    <t>sent_id: 1900_1950_1860_sec609 | rules: sentence:meta:period=1900_1950, node:X:own:Voice=Act, node:X:child:VerbForm={'Fin'}, node:X:child:Case={'Acc'}, node:X:child:Definite={'Def'}, node:X:child:Gender={'Com', 'Neut'}, node:X:child:Number={'Sing'}, node:X:child:PronType={'Prs'}, node:CLH:own:Mood=Imp, node:CLH:own:VerbForm=Fin, node:CLH:own:Voice=Act, node:CLH:own:rel_shallow=root</t>
  </si>
  <si>
    <t>sent_id: 1900_1950_1909_sec609 | rules: sentence:meta:period=1900_1950, node:X:own:Voice=Act, node:X:child:VerbForm={'Fin'}, node:X:child:Case={'Nom'}, node:X:child:Definite={'Def'}, node:X:child:Gender={'Com'}, node:X:child:Number={'Sing'}, node:X:child:PronType={'Prs'}, node:CLH:own:Mood=Ind, node:CLH:own:Tense=Pres, node:CLH:own:VerbForm=Fin, node:CLH:own:Voice=Act, node:CLH:own:rel_shallow=parataxis</t>
  </si>
  <si>
    <t>sent_id: 1900_1950_2085_sec609 | rules: sentence:meta:period=1900_1950, node:X:own:Voice=Act, node:X:child:VerbForm={'Fin'}, node:X:child:Definite={'Ind'}, node:X:child:Gender={'Neut'}, node:X:child:Number={'Sing'}, node:X:child:PronType={'Neg'}, node:CLH:own:Mood=Ind, node:CLH:own:Tense=Pres, node:CLH:own:VerbForm=Fin, node:CLH:own:Voice=Act, node:CLH:own:rel_shallow=root</t>
  </si>
  <si>
    <t>sent_id: 1900_1950_2093_sec609 | rules: sentence:meta:period=1900_1950, node:X:own:Voice=Act, node:X:child:VerbForm={'Fin', 'Inf'}, node:X:child:Case={'Nom'}, node:CLH:own:VerbForm=Sup, node:CLH:own:Voice=Act, node:CLH:own:rel_shallow=root</t>
  </si>
  <si>
    <t>sent_id: 1900_1950_2217_sec609 | rules: sentence:meta:period=1900_1950, node:X:own:Voice=Act, node:X:child:Case={'Nom'}, node:X:child:Definite={'Def', 'Ind'}, node:X:child:Degree={'Pos'}, node:X:child:Gender={'Com', 'Neut'}, node:X:child:Number={'Plur', 'Sing'}, node:X:child:VerbForm={'Part', 'Fin', 'Inf'}, node:X:child:PronType={'Prs', 'Rel'}, node:CLH:own:Mood=Ind, node:CLH:own:Tense=Pres, node:CLH:own:VerbForm=Fin, node:CLH:own:Voice=Act, node:CLH:own:rel_shallow=conj</t>
  </si>
  <si>
    <t>sent_id: 1900_1950_2237_sec609 | rules: sentence:meta:period=1900_1950, node:X:own:Voice=Act, node:X:child:Case={'Nom'}, node:X:child:Definite={'Def'}, node:X:child:Gender={'Com'}, node:X:child:Number={'Plur', 'Sing'}, node:X:child:VerbForm={'Fin', 'Inf'}, node:X:child:PronType={'Prs'}, node:CLH:own:Mood=Imp, node:CLH:own:VerbForm=Fin, node:CLH:own:Voice=Act, node:CLH:own:rel_shallow=root</t>
  </si>
  <si>
    <t>sent_id: 1900_1950_2238_sec609 | rules: sentence:meta:period=1900_1950, node:X:own:Voice=Act, node:X:child:VerbForm={'Sup', 'Fin', 'Inf'}, node:X:child:Case={'Nom'}, node:X:child:Definite={'Def'}, node:X:child:Number={'Plur'}, node:X:child:PronType={'Prs'}, node:CLH:own:Mood=Imp, node:CLH:own:VerbForm=Fin, node:CLH:own:Voice=Act, node:CLH:own:rel_shallow=root</t>
  </si>
  <si>
    <t>sent_id: 1900_1950_2255_sec609 | rules: sentence:meta:period=1900_1950, node:X:own:Voice=Act, node:X:child:VerbForm={'Fin'}, node:X:child:Case={'Nom'}, node:X:child:Definite={'Ind'}, node:X:child:Gender={'Neut'}, node:X:child:Number={'Sing'}, node:CLH:own:Mood=Ind, node:CLH:own:Tense=Past, node:CLH:own:VerbForm=Fin, node:CLH:own:Voice=Act, node:CLH:own:rel_shallow=advcl</t>
  </si>
  <si>
    <t>sent_id: 1900_1950_2294_sec609 | rules: sentence:meta:period=1900_1950, node:X:own:Voice=Act, node:X:child:Case={'Nom'}, node:X:child:Definite={'Def', 'Ind'}, node:X:child:Gender={'Com'}, node:X:child:Number={'Sing'}, node:X:child:VerbForm={'Fin'}, node:CLH:own:Mood=Ind, node:CLH:own:Tense=Past, node:CLH:own:VerbForm=Fin, node:CLH:own:Voice=Act, node:CLH:own:rel_shallow=conj</t>
  </si>
  <si>
    <t>sent_id: 1900_1950_2357_sec609 | rules: sentence:meta:period=1900_1950, node:X:own:Voice=Act, node:X:child:VerbForm={'Fin', 'Inf'}, node:X:child:Case={'Nom'}, node:X:child:Definite={'Def', 'Ind'}, node:X:child:Gender={'Com'}, node:X:child:Number={'Sing'}, node:X:child:PronType={'Prs'}, node:CLH:own:Mood=Ind, node:CLH:own:Tense=Past, node:CLH:own:VerbForm=Fin, node:CLH:own:Voice=Act, node:CLH:own:rel_shallow=conj</t>
  </si>
  <si>
    <t>sent_id: 1900_1950_2557_sec609 | rules: sentence:meta:period=1900_1950, node:X:own:Voice=Act, node:X:child:VerbForm={'Fin', 'Inf'}, node:X:child:Case={'Nom', 'Acc'}, node:X:child:Definite={'Def'}, node:X:child:PronType={'Prs'}, node:CLH:own:Case=Nom, node:CLH:own:Definite=Def, node:CLH:own:Gender=Neut, node:CLH:own:Number=Sing, node:CLH:own:rel_shallow=root</t>
  </si>
  <si>
    <t>sent_id: 1900_1950_58_sec613 | rules: sentence:meta:period=1900_1950, node:X:own:Voice=Act, node:X:child:Case={'Nom'}, node:X:child:Definite={'Def', 'Ind'}, node:X:child:Gender={'Com', 'Neut'}, node:X:child:Number={'Sing'}, node:X:child:VerbForm={'Fin', 'Inf'}, node:X:child:PronType={'Prs'}, node:CLH:own:Mood=Ind, node:CLH:own:Tense=Past, node:CLH:own:VerbForm=Fin, node:CLH:own:Voice=Act, node:CLH:own:rel_shallow=root</t>
  </si>
  <si>
    <t>sent_id: 1900_1950_127_sec613 | rules: sentence:meta:period=1900_1950, node:X:own:Voice=Act, node:X:child:VerbForm={'Sup', 'Fin'}, node:X:child:Case={'Nom'}, node:X:child:Definite={'Def', 'Ind'}, node:X:child:Gender={'Com'}, node:X:child:Number={'Plur'}, node:X:child:Degree={'Pos'}, node:X:child:PronType={'Prs'}, node:CLH:own:Mood=Ind, node:CLH:own:Tense=Past, node:CLH:own:VerbForm=Fin, node:CLH:own:Voice=Act, node:CLH:own:rel_shallow=root</t>
  </si>
  <si>
    <t>sent_id: 1900_1950_180_sec613 | rules: sentence:meta:period=1900_1950, node:X:own:Voice=Act, node:X:child:Degree={'Pos'}, node:X:child:Case={'Nom'}, node:X:child:Definite={'Def', 'Ind'}, node:X:child:Gender={'Com', 'Neut'}, node:X:child:Number={'Sing'}, node:X:child:PronType={'Prs'}, node:X:child:VerbForm={'Fin'}, node:CLH:own:VerbForm=Sup, node:CLH:own:Voice=Act, node:CLH:own:rel_shallow=root</t>
  </si>
  <si>
    <t>sent_id: 1900_1950_596_sec613 | rules: sentence:meta:period=1900_1950, node:X:own:Voice=Act, node:X:child:Case={'Nom'}, node:X:child:Definite={'Def', 'Ind'}, node:X:child:Gender={'Com', 'Neut'}, node:X:child:Number={'Plur', 'Sing'}, node:X:child:PronType={'Prs'}, node:X:child:VerbForm={'Fin'}, node:X:child:Polarity={'Neg'}, node:CLH:own:Case=Nom, node:CLH:own:Definite=Ind, node:CLH:own:Degree=Pos, node:CLH:own:Gender=Neut, node:CLH:own:Number=Sing, node:CLH:own:rel_shallow=root</t>
  </si>
  <si>
    <t>sent_id: 1900_1950_676_sec613 | rules: sentence:meta:period=1900_1950, node:X:own:Voice=Pass, node:X:child:Case={'Nom'}, node:X:child:Definite={'Def', 'Ind'}, node:X:child:Gender={'Com', 'Neut'}, node:X:child:Number={'Plur', 'Sing'}, node:X:child:VerbForm={'Inf'}, node:X:child:Polarity={'Neg'}, node:CLH:own:VerbForm=Sup, node:CLH:own:Voice=Act, node:CLH:own:rel_shallow=conj</t>
  </si>
  <si>
    <t>sent_id: 1900_1950_778_sec613 | rules: sentence:meta:period=1900_1950, node:X:own:Voice=Act, node:X:child:VerbForm={'Fin'}, node:X:child:Case={'Nom', 'Acc'}, node:X:child:Definite={'Def'}, node:X:child:Number={'Plur', 'Sing'}, node:X:child:PronType={'Prs'}, node:X:child:Degree={'Pos'}, node:X:child:Gender={'Com'}, node:CLH:own:Mood=Ind, node:CLH:own:Tense=Pres, node:CLH:own:VerbForm=Fin, node:CLH:own:Voice=Act, node:CLH:own:rel_shallow=parataxis</t>
  </si>
  <si>
    <t>sent_id: 1900_1950_826_sec613 | rules: sentence:meta:period=1900_1950, node:X:own:Voice=Act, node:X:child:VerbForm={'Sup', 'Fin'}, node:X:child:Case={'Nom'}, node:X:child:Definite={'Def', 'Ind'}, node:X:child:Gender={'Com'}, node:X:child:Number={'Sing'}, node:X:child:PronType={'Prs'}, node:CLH:own:VerbForm=Inf, node:CLH:own:Voice=Act, node:CLH:own:rel_shallow=ccomp</t>
  </si>
  <si>
    <t>sent_id: 1900_1950_826_sec613 | rules: sentence:meta:period=1900_1950, node:X:own:Voice=Act, node:X:child:Definite={'Def'}, node:X:child:Gender={'Com', 'Neut'}, node:X:child:Number={'Sing'}, node:X:child:PronType={'Prs'}, node:X:child:VerbForm={'Fin', 'Inf'}, node:X:child:Polarity={'Neg'}, node:X:child:Case={'Nom'}, node:CLH:own:VerbForm=Sup, node:CLH:own:Voice=Act, node:CLH:own:rel_shallow=advcl</t>
  </si>
  <si>
    <t>sent_id: 1900_1950_11_sec631 | rules: sentence:meta:period=1900_1950, node:X:own:Voice=Act, node:X:child:Case={'Nom'}, node:X:child:Definite={'Def', 'Ind'}, node:X:child:Gender={'Com', 'Neut'}, node:X:child:Number={'Plur', 'Sing'}, node:X:child:VerbForm={'Inf'}, node:X:child:PronType={'Prs'}, node:CLH:own:Mood=Ind, node:CLH:own:Tense=Past, node:CLH:own:VerbForm=Fin, node:CLH:own:Voice=Act, node:CLH:own:rel_shallow=root</t>
  </si>
  <si>
    <t>sent_id: 1900_1950_32_sec631 | rules: sentence:meta:period=1900_1950, node:X:own:Voice=Act, node:X:child:VerbForm={'Inf'}, node:CLH:own:Mood=Ind, node:CLH:own:Tense=Pres, node:CLH:own:VerbForm=Fin, node:CLH:own:Voice=Act, node:CLH:own:rel_shallow=acl:relcl</t>
  </si>
  <si>
    <t>sent_id: 1900_1950_191_sec631 | rules: sentence:meta:period=1900_1950, node:X:own:Voice=Act, node:X:child:VerbForm={'Fin', 'Inf'}, node:X:child:Case={'Nom'}, node:X:child:Definite={'Def', 'Ind'}, node:X:child:Gender={'Com', 'Neut'}, node:X:child:Number={'Plur', 'Sing'}, node:X:child:PronType={'Prs'}, node:CLH:own:Case=Nom, node:CLH:own:Definite=Ind, node:CLH:own:Degree=Pos, node:CLH:own:Number=Sing, node:CLH:own:Tense=Past, node:CLH:own:VerbForm=Part, node:CLH:own:rel_shallow=root</t>
  </si>
  <si>
    <t>sent_id: 1900_1950_304_sec631 | rules: sentence:meta:period=1900_1950, node:X:own:Voice=Act, node:X:child:Case={'Nom'}, node:X:child:Definite={'Def', 'Ind'}, node:X:child:Degree={'Pos'}, node:X:child:Number={'Sing'}, node:X:child:Gender={'Neut'}, node:X:child:VerbForm={'Fin'}, node:CLH:own:Mood=Ind, node:CLH:own:Tense=Pres, node:CLH:own:VerbForm=Fin, node:CLH:own:Voice=Act, node:CLH:own:rel_shallow=root</t>
  </si>
  <si>
    <t>sent_id: 1900_1950_304_sec631 | rules: sentence:meta:period=1900_1950, node:X:own:Voice=Act, node:X:child:Case={'Nom'}, node:X:child:Definite={'Def', 'Ind'}, node:X:child:Gender={'Com', 'Neut'}, node:X:child:Number={'Sing'}, node:X:child:VerbForm={'Inf'}, node:CLH:own:Mood=Ind, node:CLH:own:Tense=Pres, node:CLH:own:VerbForm=Fin, node:CLH:own:Voice=Act, node:CLH:own:rel_shallow=acl:relcl</t>
  </si>
  <si>
    <t>sent_id: 1900_1950_356_sec631 | rules: sentence:meta:period=1900_1950, node:X:own:Voice=Act, node:X:child:Case={'Nom'}, node:X:child:Definite={'Def'}, node:X:child:Degree={'Sup'}, node:X:child:Gender={'Com'}, node:X:child:Number={'Sing'}, node:X:child:PronType={'Prs'}, node:X:child:VerbForm={'Inf'}, node:CLH:own:Mood=Ind, node:CLH:own:Tense=Pres, node:CLH:own:VerbForm=Fin, node:CLH:own:Voice=Act, node:CLH:own:rel_shallow=conj</t>
  </si>
  <si>
    <t>sent_id: 1900_1950_412_sec631 | rules: sentence:meta:period=1900_1950, node:X:own:Voice=Act, node:X:child:Case={'Nom', 'Acc'}, node:X:child:Definite={'Def'}, node:X:child:Gender={'Com'}, node:X:child:Number={'Sing'}, node:X:child:PronType={'Prs'}, node:X:child:Degree={'Pos'}, node:X:child:VerbForm={'Fin'}, node:CLH:own:VerbForm=Inf, node:CLH:own:Voice=Act, node:CLH:own:rel_shallow=root</t>
  </si>
  <si>
    <t>sent_id: 1900_1950_423_sec631 | rules: sentence:meta:period=1900_1950, node:X:own:Voice=Act, node:X:child:VerbForm={'Part', 'Fin', 'Inf'}, node:X:child:Case={'Nom'}, node:X:child:Definite={'Def', 'Ind'}, node:X:child:Gender={'Com', 'Neut'}, node:X:child:Number={'Sing'}, node:X:child:Degree={'Pos'}, node:CLH:own:Mood=Ind, node:CLH:own:Tense=Pres, node:CLH:own:VerbForm=Fin, node:CLH:own:Voice=Act, node:CLH:own:rel_shallow=parataxis</t>
  </si>
  <si>
    <t>sent_id: 1900_1950_433_sec631 | rules: sentence:meta:period=1900_1950, node:X:own:Voice=Act, node:X:child:Case={'Nom'}, node:X:child:Definite={'Ind'}, node:X:child:Gender={'Neut'}, node:X:child:Number={'Sing'}, node:X:child:VerbForm={'Inf'}, node:CLH:own:Case=Nom, node:CLH:own:Definite=Def, node:CLH:own:Gender=Com, node:CLH:own:Number=Sing, node:CLH:own:rel_shallow=obl</t>
  </si>
  <si>
    <t>sent_id: 1900_1950_451_sec631 | rules: sentence:meta:period=1900_1950, node:X:own:Voice=Act, node:X:child:VerbForm={'Inf'}, node:CLH:own:VerbForm=Inf, node:CLH:own:Voice=Act, node:CLH:own:rel_shallow=xcomp</t>
  </si>
  <si>
    <t>sent_id: 1900_1950_569_sec631 | rules: sentence:meta:period=1900_1950, node:X:own:Voice=Act, node:X:child:VerbForm={'Fin', 'Inf'}, node:X:child:Case={'Nom'}, node:X:child:Definite={'Def'}, node:X:child:Number={'Plur'}, node:X:child:PronType={'Prs'}, node:CLH:own:Case=Nom, node:CLH:own:Degree=Cmp, node:CLH:own:rel_shallow=parataxis</t>
  </si>
  <si>
    <t>sent_id: 1900_1950_601_sec631 | rules: sentence:meta:period=1900_1950, node:X:own:Voice=Act, node:X:child:Case={'Nom'}, node:X:child:Definite={'Ind'}, node:X:child:Gender={'Neut'}, node:X:child:Number={'Sing'}, node:X:child:VerbForm={'Inf'}, node:X:child:Polarity={'Neg'}, node:X:child:Degree={'Pos'}, node:CLH:own:Mood=Ind, node:CLH:own:Tense=Pres, node:CLH:own:VerbForm=Fin, node:CLH:own:Voice=Act, node:CLH:own:rel_shallow=parataxis</t>
  </si>
  <si>
    <t>sent_id: 1900_1950_46_sec639 | rules: sentence:meta:period=1900_1950, node:X:own:Voice=Pass, node:X:child:Case={'Nom'}, node:X:child:Definite={'Def'}, node:X:child:Gender={'Com'}, node:X:child:Number={'Plur', 'Sing'}, node:X:child:VerbForm={'Fin'}, node:CLH:own:VerbForm=Inf, node:CLH:own:Voice=Act, node:CLH:own:rel_shallow=root</t>
  </si>
  <si>
    <t>sent_id: 1900_1950_105_sec639 | rules: sentence:meta:period=1900_1950, node:X:own:Voice=Act, node:X:child:VerbForm={'Fin', 'Inf'}, node:X:child:Definite={'Ind'}, node:X:child:Gender={'Neut'}, node:X:child:Number={'Sing'}, node:X:child:PronType={'Ind'}, node:CLH:own:Mood=Ind, node:CLH:own:Tense=Pres, node:CLH:own:VerbForm=Fin, node:CLH:own:Voice=Act, node:CLH:own:rel_shallow=root</t>
  </si>
  <si>
    <t>sent_id: 1900_1950_109_sec639 | rules: sentence:meta:period=1900_1950, node:X:own:Voice=Act, node:X:child:VerbForm={'Sup', 'Fin'}, node:X:child:Case={'Nom'}, node:X:child:Definite={'Def', 'Ind'}, node:X:child:Degree={'Sup'}, node:X:child:Gender={'Com'}, node:X:child:Number={'Sing'}, node:CLH:own:Mood=Ind, node:CLH:own:Tense=Pres, node:CLH:own:VerbForm=Fin, node:CLH:own:Voice=Act, node:CLH:own:rel_shallow=root</t>
  </si>
  <si>
    <t>sent_id: 1900_1950_179_sec639 | rules: sentence:meta:period=1900_1950, node:X:own:Voice=Act, node:X:child:VerbForm={'Fin'}, node:X:child:Case={'Nom'}, node:X:child:Definite={'Def', 'Ind'}, node:X:child:Gender={'Com', 'Neut'}, node:X:child:Number={'Sing'}, node:X:child:PronType={'Prs'}, node:CLH:own:Mood=Ind, node:CLH:own:Tense=Past, node:CLH:own:VerbForm=Fin, node:CLH:own:Voice=Act, node:CLH:own:rel_shallow=root</t>
  </si>
  <si>
    <t>sent_id: 1900_1950_248_sec639 | rules: sentence:meta:period=1900_1950, node:X:own:Voice=Act, node:X:child:VerbForm={'Fin'}, node:X:child:Polarity={'Neg'}, node:X:child:Definite={'Ind'}, node:X:child:Number={'Plur'}, node:X:child:PronType={'Ind'}, node:CLH:own:Case=Nom, node:CLH:own:Definite=Def, node:CLH:own:Gender=Com, node:CLH:own:Number=Plur, node:CLH:own:rel_shallow=obl</t>
  </si>
  <si>
    <t>sent_id: 1900_1950_256_sec639 | rules: sentence:meta:period=1900_1950, node:X:own:Voice=Act, node:X:child:VerbForm={'Sup', 'Inf'}, node:X:child:Case={'Nom'}, node:X:child:Definite={'Ind'}, node:X:child:Gender={'Com'}, node:X:child:Number={'Plur'}, node:CLH:own:Mood=Ind, node:CLH:own:Tense=Pres, node:CLH:own:VerbForm=Fin, node:CLH:own:Voice=Act, node:CLH:own:rel_shallow=root</t>
  </si>
  <si>
    <t>sent_id: 1900_1950_321_sec639 | rules: sentence:meta:period=1900_1950, node:X:own:Voice=Pass, node:X:child:Case={'Nom'}, node:X:child:Definite={'Def'}, node:X:child:Gender={'Com', 'Neut'}, node:X:child:Number={'Plur', 'Sing'}, node:X:child:VerbForm={'Fin'}, node:X:child:PronType={'Prs'}, node:CLH:own:VerbForm=Sup, node:CLH:own:Voice=Act, node:CLH:own:rel_shallow=root</t>
  </si>
  <si>
    <t>sent_id: 1900_1950_499_sec639 | rules: sentence:meta:period=1900_1950, node:X:own:Voice=Act, node:X:child:VerbForm={'Fin'}, node:X:child:Case={'Nom'}, node:X:child:Definite={'Def', 'Ind'}, node:X:child:Gender={'Com'}, node:X:child:Number={'Sing'}, node:X:child:Degree={'Pos'}, node:CLH:own:VerbForm=Inf, node:CLH:own:Voice=Act, node:CLH:own:rel_shallow=root</t>
  </si>
  <si>
    <t>sent_id: 1850_1899_72_sec1031 | rules: sentence:meta:period=1850_1899, node:X:own:Voice=Act, node:X:child:Definite={'Def'}, node:X:child:Gender={'Com', 'Neut'}, node:X:child:Number={'Sing'}, node:X:child:PronType={'Prs', 'Dem'}, node:X:child:VerbForm={'Fin'}, node:X:child:Case={'Nom'}, node:CLH:own:Mood=Ind, node:CLH:own:Tense=Past, node:CLH:own:VerbForm=Fin, node:CLH:own:Voice=Act, node:CLH:own:rel_shallow=root</t>
  </si>
  <si>
    <t>sent_id: 1850_1899_159_sec1031 | rules: sentence:meta:period=1850_1899, node:X:own:Voice=Act, node:X:child:VerbForm={'Fin'}, node:X:child:Case={'Nom'}, node:X:child:Definite={'Def', 'Ind'}, node:X:child:Degree={'Pos'}, node:X:child:Gender={'Com', 'Neut'}, node:X:child:Number={'Sing'}, node:X:child:Polarity={'Neg'}, node:X:child:PronType={'Prs'}, node:CLH:own:Mood=Ind, node:CLH:own:Tense=Past, node:CLH:own:VerbForm=Fin, node:CLH:own:Voice=Act, node:CLH:own:rel_shallow=root</t>
  </si>
  <si>
    <t>sent_id: 1850_1899_272_sec1031 | rules: sentence:meta:period=1850_1899, node:X:own:Voice=Act, node:X:child:VerbForm={'Sup', 'Fin'}, node:X:child:Case={'Nom'}, node:X:child:Definite={'Def', 'Ind'}, node:X:child:Gender={'Com', 'Neut'}, node:X:child:Number={'Plur', 'Sing'}, node:X:child:NumType={'Card'}, node:X:child:PronType={'Prs'}, node:CLH:own:Mood=Ind, node:CLH:own:Tense=Past, node:CLH:own:VerbForm=Fin, node:CLH:own:Voice=Act, node:CLH:own:rel_shallow=root</t>
  </si>
  <si>
    <t>sent_id: 1850_1899_592_sec1031 | rules: sentence:meta:period=1850_1899, node:X:own:Voice=Act, node:X:child:VerbForm={'Sup', 'Fin'}, node:X:child:Definite={'Ind'}, node:X:child:Gender={'Com'}, node:X:child:Number={'Sing'}, node:X:child:PronType={'Int', 'Ind'}, node:X:child:Case={'Nom'}, node:CLH:own:VerbForm=Sup, node:CLH:own:Voice=Act, node:CLH:own:rel_shallow=root</t>
  </si>
  <si>
    <t>sent_id: 1850_1899_604_sec1031 | rules: sentence:meta:period=1850_1899, node:X:own:Voice=Act, node:X:child:Case={'Nom'}, node:X:child:Definite={'Ind'}, node:X:child:Gender={'Com'}, node:X:child:Number={'Plur'}, node:X:child:VerbForm={'Fin'}, node:CLH:own:VerbForm=Inf, node:CLH:own:Voice=Act, node:CLH:own:rel_shallow=conj</t>
  </si>
  <si>
    <t>sent_id: 1850_1899_723_sec1031 | rules: sentence:meta:period=1850_1899, node:X:own:Voice=Act, node:X:child:Case={'Nom'}, node:X:child:Definite={'Def'}, node:X:child:Gender={'Com'}, node:X:child:Number={'Plur'}, node:X:child:Degree={'Cmp'}, node:X:child:PronType={'Prs'}, node:X:child:VerbForm={'Fin'}, node:CLH:own:Case=Nom, node:CLH:own:Definite=Ind, node:CLH:own:Degree=Pos, node:CLH:own:Gender=Neut, node:CLH:own:Number=Sing, node:CLH:own:rel_shallow=root</t>
  </si>
  <si>
    <t>sent_id: 1850_1899_58_sec1063 | rules: sentence:meta:period=1850_1899, node:X:own:Voice=Act, node:X:child:VerbForm={'Inf'}, node:X:child:Case={'Nom'}, node:X:child:Definite={'Def'}, node:X:child:Gender={'Com'}, node:X:child:Number={'Plur'}, node:X:child:PronType={'Prs'}, node:CLH:own:Case=Nom, node:CLH:own:Definite=Ind, node:CLH:own:Degree=Pos, node:CLH:own:Number=Sing, node:CLH:own:rel_shallow=root</t>
  </si>
  <si>
    <t>sent_id: 1850_1899_164_sec1063 | rules: sentence:meta:period=1850_1899, node:X:own:Voice=Act, node:X:child:Case={'Nom'}, node:X:child:Definite={'Ind'}, node:X:child:Gender={'Com'}, node:X:child:Number={'Sing'}, node:X:child:VerbForm={'Fin'}, node:CLH:own:Mood=Ind, node:CLH:own:Tense=Past, node:CLH:own:VerbForm=Fin, node:CLH:own:Voice=Act, node:CLH:own:rel_shallow=root</t>
  </si>
  <si>
    <t>sent_id: 1850_1899_173_sec1063 | rules: sentence:meta:period=1850_1899, node:X:own:Voice=Act, node:X:child:VerbForm={'Fin'}, node:X:child:Case={'Nom'}, node:X:child:Definite={'Def', 'Ind'}, node:X:child:Degree={'Pos'}, node:X:child:Gender={'Neut'}, node:X:child:Number={'Sing'}, node:X:child:Polarity={'Neg'}, node:CLH:own:Case=Nom, node:CLH:own:Definite=Ind, node:CLH:own:Degree=Pos, node:CLH:own:Gender=Neut, node:CLH:own:Number=Sing, node:CLH:own:rel_shallow=root</t>
  </si>
  <si>
    <t>sent_id: 1850_1899_195_sec1063 | rules: sentence:meta:period=1850_1899, node:X:own:Voice=Act, node:X:child:Case={'Nom'}, node:X:child:VerbForm={'Fin'}, node:X:child:Definite={'Def'}, node:X:child:Gender={'Com'}, node:X:child:Number={'Sing'}, node:X:child:PronType={'Prs'}, node:CLH:own:Mood=Ind, node:CLH:own:Tense=Past, node:CLH:own:VerbForm=Fin, node:CLH:own:Voice=Act, node:CLH:own:rel_shallow=conj</t>
  </si>
  <si>
    <t>sent_id: 1850_1899_222_sec1063 | rules: sentence:meta:period=1850_1899, node:X:own:Voice=Act, node:X:child:VerbForm={'Sup', 'Fin'}, node:CLH:own:Mood=Ind, node:CLH:own:Tense=Past, node:CLH:own:VerbForm=Fin, node:CLH:own:Voice=Act, node:CLH:own:rel_shallow=root</t>
  </si>
  <si>
    <t>sent_id: 1850_1899_226_sec1063 | rules: sentence:meta:period=1850_1899, node:X:own:Voice=Act, node:X:child:Case={'Nom', 'Acc'}, node:X:child:Definite={'Def'}, node:X:child:Gender={'Com'}, node:X:child:Number={'Plur', 'Sing'}, node:X:child:PronType={'Prs'}, node:X:child:VerbForm={'Fin'}, node:CLH:own:Mood=Ind, node:CLH:own:Tense=Past, node:CLH:own:VerbForm=Fin, node:CLH:own:Voice=Act, node:CLH:own:rel_shallow=root</t>
  </si>
  <si>
    <t>sent_id: 1850_1899_368_sec1063 | rules: sentence:meta:period=1850_1899, node:X:own:Voice=Act, node:X:child:VerbForm={'Fin'}, node:X:child:Case={'Nom'}, node:X:child:Definite={'Def'}, node:X:child:Gender={'Com'}, node:X:child:Number={'Sing'}, node:CLH:own:Mood=Ind, node:CLH:own:Tense=Past, node:CLH:own:VerbForm=Fin, node:CLH:own:Voice=Act, node:CLH:own:rel_shallow=root</t>
  </si>
  <si>
    <t>sent_id: 1850_1899_395_sec1063 | rules: sentence:meta:period=1850_1899, node:X:own:Voice=Act, node:X:child:Case={'Nom'}, node:X:child:Definite={'Def', 'Ind'}, node:X:child:Gender={'Com', 'Neut'}, node:X:child:Number={'Sing'}, node:X:child:Polarity={'Neg'}, node:X:child:VerbForm={'Fin'}, node:X:child:PronType={'Prs'}, node:CLH:own:Mood=Ind, node:CLH:own:Tense=Pres, node:CLH:own:VerbForm=Fin, node:CLH:own:Voice=Act, node:CLH:own:rel_shallow=conj</t>
  </si>
  <si>
    <t>sent_id: 1850_1899_409_sec1063 | rules: sentence:meta:period=1850_1899, node:X:own:Voice=Act, node:X:child:VerbForm={'Sup', 'Fin'}, node:X:child:Case={'Nom'}, node:X:child:Definite={'Def'}, node:X:child:Gender={'Com'}, node:X:child:Number={'Sing'}, node:CLH:own:Mood=Ind, node:CLH:own:Tense=Past, node:CLH:own:VerbForm=Fin, node:CLH:own:Voice=Act, node:CLH:own:rel_shallow=root</t>
  </si>
  <si>
    <t>sent_id: 1850_1899_640_sec1063 | rules: sentence:meta:period=1850_1899, node:X:own:Voice=Act, node:X:child:VerbForm={'Fin'}, node:X:child:PronType={'Int', 'Rel'}, node:X:child:Definite={'Ind'}, node:X:child:Gender={'Neut'}, node:X:child:Number={'Sing'}, node:CLH:own:VerbForm=Inf, node:CLH:own:Voice=Act, node:CLH:own:rel_shallow=conj</t>
  </si>
  <si>
    <t>sent_id: 1850_1899_41_sec1102 | rules: sentence:meta:period=1850_1899, node:X:own:Voice=Act, node:X:child:VerbForm={'Fin'}, node:X:child:Case={'Nom'}, node:X:child:Definite={'Def'}, node:X:child:Gender={'Com'}, node:X:child:Number={'Sing'}, node:X:child:PronType={'Prs'}, node:CLH:own:Mood=Ind, node:CLH:own:Tense=Pres, node:CLH:own:VerbForm=Fin, node:CLH:own:Voice=Act, node:CLH:own:rel_shallow=root</t>
  </si>
  <si>
    <t>sent_id: 1850_1899_53_sec1102 | rules: sentence:meta:period=1850_1899, node:X:own:Voice=Act, node:X:child:Case={'Nom'}, node:X:child:Definite={'Ind'}, node:X:child:Gender={'Com', 'Neut'}, node:X:child:Number={'Sing'}, node:X:child:VerbForm={'Fin'}, node:CLH:own:Mood=Ind, node:CLH:own:Tense=Past, node:CLH:own:VerbForm=Fin, node:CLH:own:Voice=Act, node:CLH:own:rel_shallow=root</t>
  </si>
  <si>
    <t>sent_id: 1850_1899_93_sec1102 | rules: sentence:meta:period=1850_1899, node:X:own:Voice=Act, node:X:child:Case={'Nom'}, node:X:child:Definite={'Ind'}, node:X:child:Gender={'Neut'}, node:X:child:Number={'Sing'}, node:X:child:VerbForm={'Inf'}, node:CLH:own:Mood=Ind, node:CLH:own:Tense=Past, node:CLH:own:VerbForm=Fin, node:CLH:own:Voice=Pass, node:CLH:own:rel_shallow=root</t>
  </si>
  <si>
    <t>sent_id: 1850_1899_193_sec1102 | rules: sentence:meta:period=1850_1899, node:X:own:Voice=Act, node:X:child:Definite={'Def'}, node:X:child:Gender={'Com', 'Neut'}, node:X:child:Number={'Sing'}, node:X:child:PronType={'Prs'}, node:X:child:VerbForm={'Fin'}, node:X:child:Case={'Nom'}, node:X:child:Polarity={'Neg'}, node:CLH:own:Mood=Ind, node:CLH:own:Tense=Pres, node:CLH:own:VerbForm=Fin, node:CLH:own:Voice=Act, node:CLH:own:rel_shallow=conj</t>
  </si>
  <si>
    <t>sent_id: 1850_1899_207_sec1102 | rules: sentence:meta:period=1850_1899, node:X:own:Voice=Act, node:X:child:Definite={'Def'}, node:X:child:Gender={'Com', 'Neut'}, node:X:child:Number={'Sing'}, node:X:child:PronType={'Dem'}, node:X:child:VerbForm={'Fin'}, node:X:child:Case={'Nom'}, node:CLH:own:Mood=Ind, node:CLH:own:Tense=Past, node:CLH:own:VerbForm=Fin, node:CLH:own:Voice=Act, node:CLH:own:rel_shallow=root</t>
  </si>
  <si>
    <t>sent_id: 1850_1899_284_sec1102 | rules: sentence:meta:period=1850_1899, node:X:own:Voice=Act, node:X:child:VerbForm={'Fin'}, node:X:child:Case={'Nom'}, node:X:child:Definite={'Def'}, node:X:child:Gender={'Com'}, node:X:child:Number={'Plur'}, node:X:child:Polarity={'Neg'}, node:CLH:own:Mood=Ind, node:CLH:own:Tense=Past, node:CLH:own:VerbForm=Fin, node:CLH:own:Voice=Act, node:CLH:own:rel_shallow=conj</t>
  </si>
  <si>
    <t>sent_id: 1850_1899_284_sec1102 | rules: sentence:meta:period=1850_1899, node:X:own:Voice=Act, node:X:child:Case={'Nom'}, node:X:child:Definite={'Def'}, node:X:child:Gender={'Com'}, node:X:child:Number={'Sing'}, node:X:child:VerbForm={'Fin'}, node:X:child:Polarity={'Neg'}, node:CLH:own:Mood=Ind, node:CLH:own:Tense=Past, node:CLH:own:VerbForm=Fin, node:CLH:own:Voice=Act, node:CLH:own:rel_shallow=conj</t>
  </si>
  <si>
    <t>sent_id: 1850_1899_374_sec1102 | rules: sentence:meta:period=1850_1899, node:X:own:Voice=Act, node:X:child:Case={'Nom'}, node:X:child:VerbForm={'Fin'}, node:X:child:Definite={'Def', 'Ind'}, node:X:child:Gender={'Com'}, node:X:child:Number={'Plur', 'Sing'}, node:X:child:Polarity={'Neg'}, node:X:child:PronType={'Prs'}, node:CLH:own:VerbForm=Inf, node:CLH:own:Voice=Act, node:CLH:own:rel_shallow=root</t>
  </si>
  <si>
    <t>sent_id: 1850_1899_427_sec1102 | rules: sentence:meta:period=1850_1899, node:X:own:Voice=Act, node:X:child:Case={'Nom', 'Acc'}, node:X:child:Definite={'Def'}, node:X:child:Gender={'Com'}, node:X:child:Number={'Sing'}, node:X:child:PronType={'Prs'}, node:X:child:VerbForm={'Fin'}, node:CLH:own:Mood=Ind, node:CLH:own:Tense=Pres, node:CLH:own:VerbForm=Fin, node:CLH:own:Voice=Act, node:CLH:own:rel_shallow=root</t>
  </si>
  <si>
    <t>sent_id: 1850_1899_428_sec1102 | rules: sentence:meta:period=1850_1899, node:X:own:Voice=Act, node:X:child:Case={'Nom', 'Acc'}, node:X:child:Definite={'Def'}, node:X:child:Gender={'Com'}, node:X:child:Number={'Sing'}, node:X:child:PronType={'Prs'}, node:X:child:VerbForm={'Fin'}, node:CLH:own:Mood=Ind, node:CLH:own:Tense=Past, node:CLH:own:VerbForm=Fin, node:CLH:own:Voice=Act, node:CLH:own:rel_shallow=conj</t>
  </si>
  <si>
    <t>sent_id: 1850_1899_438_sec1102 | rules: sentence:meta:period=1850_1899, node:X:own:Voice=Act, node:X:child:Case={'Nom'}, node:X:child:Definite={'Def', 'Ind'}, node:X:child:Gender={'Com', 'Neut'}, node:X:child:Number={'Plur', 'Sing'}, node:X:child:VerbForm={'Fin'}, node:X:child:PronType={'Rel'}, node:CLH:own:Case=Nom, node:CLH:own:Definite=Def, node:CLH:own:Gender=Com, node:CLH:own:Number=Sing, node:CLH:own:rel_shallow=root</t>
  </si>
  <si>
    <t>sent_id: 1850_1899_440_sec1102 | rules: sentence:meta:period=1850_1899, node:X:own:Voice=Act, node:X:child:Case={'Nom'}, node:X:child:Definite={'Def', 'Ind'}, node:X:child:Gender={'Com', 'Neut'}, node:X:child:Number={'Sing'}, node:X:child:VerbForm={'Sup', 'Fin'}, node:X:child:PronType={'Prs'}, node:CLH:own:Case=Nom, node:CLH:own:Definite=Def, node:CLH:own:Gender=Com, node:CLH:own:Number=Sing, node:CLH:own:rel_shallow=conj</t>
  </si>
  <si>
    <t>sent_id: 1850_1899_520_sec1102 | rules: sentence:meta:period=1850_1899, node:X:own:Voice=Act, node:X:child:Case={'Nom'}, node:X:child:Definite={'Def', 'Ind'}, node:X:child:Gender={'Com', 'Neut'}, node:X:child:Number={'Sing'}, node:X:child:Polarity={'Neg'}, node:X:child:VerbForm={'Fin'}, node:X:child:PronType={'Prs'}, node:CLH:own:VerbForm=Sup, node:CLH:own:Voice=Act, node:CLH:own:rel_shallow=conj</t>
  </si>
  <si>
    <t>sent_id: 1850_1899_538_sec1102 | rules: sentence:meta:period=1850_1899, node:X:own:Voice=Act, node:X:child:Case={'Nom'}, node:X:child:Definite={'Def', 'Ind'}, node:X:child:Degree={'Pos'}, node:X:child:Gender={'Com', 'Neut'}, node:X:child:Number={'Sing'}, node:X:child:PronType={'Prs'}, node:X:child:VerbForm={'Fin'}, node:CLH:own:VerbForm=Sup, node:CLH:own:Voice=Act, node:CLH:own:rel_shallow=root</t>
  </si>
  <si>
    <t>sent_id: 1850_1899_539_sec1102 | rules: sentence:meta:period=1850_1899, node:X:own:Voice=Act, node:X:child:VerbForm={'Fin'}, node:X:child:Case={'Nom'}, node:X:child:Definite={'Def'}, node:X:child:Gender={'Com'}, node:X:child:Number={'Sing'}, node:CLH:own:Mood=Ind, node:CLH:own:Tense=Past, node:CLH:own:VerbForm=Fin, node:CLH:own:Voice=Act, node:CLH:own:rel_shallow=advcl</t>
  </si>
  <si>
    <t>sent_id: 1850_1899_576_sec1102 | rules: sentence:meta:period=1850_1899, node:X:own:Voice=Act, node:X:child:Case={'Nom'}, node:X:child:Definite={'Def'}, node:X:child:Gender={'Com'}, node:X:child:Number={'Plur'}, node:X:child:VerbForm={'Fin'}, node:CLH:own:Case=Nom, node:CLH:own:Definite=Ind, node:CLH:own:Gender=Com, node:CLH:own:Number=Sing, node:CLH:own:rel_shallow=obl</t>
  </si>
  <si>
    <t>sent_id: 1850_1899_644_sec1102 | rules: sentence:meta:period=1850_1899, node:X:own:Voice=Act, node:X:child:Case={'Nom'}, node:X:child:Definite={'Ind'}, node:X:child:Degree={'Pos'}, node:X:child:Number={'Sing'}, node:X:child:VerbForm={'Fin'}, node:CLH:own:Case=Nom, node:CLH:own:Definite=Ind, node:CLH:own:Gender=Com, node:CLH:own:Number=Sing, node:CLH:own:Tense=Past, node:CLH:own:VerbForm=Part, node:CLH:own:Voice=Pass, node:CLH:own:rel_shallow=conj</t>
  </si>
  <si>
    <t>sent_id: 1850_1899_675_sec1102 | rules: sentence:meta:period=1850_1899, node:X:own:Voice=Act, node:X:child:Case={'Nom'}, node:X:child:Definite={'Def', 'Ind'}, node:X:child:Gender={'Com', 'Neut'}, node:X:child:Number={'Sing'}, node:X:child:VerbForm={'Fin'}, node:CLH:own:Mood=Ind, node:CLH:own:Tense=Past, node:CLH:own:VerbForm=Fin, node:CLH:own:Voice=Act, node:CLH:own:rel_shallow=root</t>
  </si>
  <si>
    <t>sent_id: 1850_1899_714_sec1102 | rules: sentence:meta:period=1850_1899, node:X:own:Voice=Act, node:X:child:Case={'Nom'}, node:X:child:Definite={'Def', 'Ind'}, node:X:child:Gender={'Com', 'Neut'}, node:X:child:Number={'Sing'}, node:X:child:VerbForm={'Fin'}, node:X:child:PronType={'Prs'}, node:CLH:own:Mood=Ind, node:CLH:own:Tense=Past, node:CLH:own:VerbForm=Fin, node:CLH:own:Voice=Act, node:CLH:own:rel_shallow=conj</t>
  </si>
  <si>
    <t>sent_id: 1850_1899_368_sec1108 | rules: sentence:meta:period=1850_1899, node:X:own:Voice=Act, node:X:child:VerbForm={'Fin'}, node:CLH:own:Mood=Ind, node:CLH:own:Tense=Past, node:CLH:own:VerbForm=Fin, node:CLH:own:Voice=Act, node:CLH:own:rel_shallow=root</t>
  </si>
  <si>
    <t>sent_id: 1850_1899_500_sec1108 | rules: sentence:meta:period=1850_1899, node:X:own:Voice=Act, node:X:child:VerbForm={'Fin'}, node:X:child:Case={'Nom'}, node:X:child:Definite={'Def'}, node:X:child:Gender={'Com'}, node:X:child:Number={'Sing'}, node:X:child:PronType={'Prs'}, node:CLH:own:VerbForm=Inf, node:CLH:own:Voice=Act, node:CLH:own:rel_shallow=conj</t>
  </si>
  <si>
    <t>sent_id: 1850_1899_609_sec1108 | rules: sentence:meta:period=1850_1899, node:X:own:Voice=Act, node:X:child:VerbForm={'Fin', 'Inf'}, node:X:child:Polarity={'Neg'}, node:CLH:own:Mood=Ind, node:CLH:own:Tense=Pres, node:CLH:own:VerbForm=Fin, node:CLH:own:Voice=Act, node:CLH:own:rel_shallow=conj</t>
  </si>
  <si>
    <t>sent_id: 1850_1899_86_sec208 | rules: sentence:meta:period=1850_1899, node:X:own:Voice=Act, node:X:child:Case={'Nom'}, node:X:child:Definite={'Def'}, node:X:child:Degree={'Pos'}, node:X:child:Number={'Sing'}, node:X:child:Gender={'Com'}, node:X:child:VerbForm={'Fin'}, node:X:child:PronType={'Prs'}, node:CLH:own:VerbForm=Inf, node:CLH:own:Voice=Act, node:CLH:own:rel_shallow=xcomp</t>
  </si>
  <si>
    <t>sent_id: 1850_1899_111_sec208 | rules: sentence:meta:period=1850_1899, node:X:own:Voice=Act, node:X:child:Case={'Nom', 'Acc'}, node:X:child:Definite={'Def', 'Ind'}, node:X:child:Gender={'Com'}, node:X:child:Number={'Sing'}, node:X:child:PronType={'Prs'}, node:X:child:VerbForm={'Inf'}, node:CLH:own:Mood=Ind, node:CLH:own:Tense=Past, node:CLH:own:VerbForm=Fin, node:CLH:own:Voice=Act, node:CLH:own:rel_shallow=root</t>
  </si>
  <si>
    <t>sent_id: 1850_1899_118_sec208 | rules: sentence:meta:period=1850_1899, node:X:own:Voice=Act, node:X:child:VerbForm={'Fin'}, node:X:child:Case={'Nom'}, node:X:child:Definite={'Ind'}, node:X:child:Gender={'Neut'}, node:X:child:Number={'Sing'}, node:CLH:own:Case=Nom, node:CLH:own:Definite=Ind, node:CLH:own:Gender=Neut, node:CLH:own:Number=Sing, node:CLH:own:rel_shallow=parataxis</t>
  </si>
  <si>
    <t>sent_id: 1850_1899_135_sec208 | rules: sentence:meta:period=1850_1899, node:X:own:Voice=Act, node:X:child:Case={'Nom'}, node:X:child:Definite={'Ind'}, node:X:child:Gender={'Com'}, node:X:child:Number={'Sing'}, node:X:child:VerbForm={'Inf'}, node:CLH:own:VerbForm=Sup, node:CLH:own:Voice=Act, node:CLH:own:rel_shallow=conj</t>
  </si>
  <si>
    <t>sent_id: 1850_1899_170_sec208 | rules: sentence:meta:period=1850_1899, node:X:own:Voice=Act, node:X:child:VerbForm={'Sup', 'Fin'}, node:X:child:Case={'Nom', 'Acc'}, node:X:child:Definite={'Def', 'Ind'}, node:X:child:Gender={'Com', 'Neut'}, node:X:child:Number={'Sing'}, node:X:child:PronType={'Prs'}, node:CLH:own:Case=Nom, node:CLH:own:Definite=Ind, node:CLH:own:Degree=Pos, node:CLH:own:Gender=Neut, node:CLH:own:Number=Sing, node:CLH:own:Tense=Past, node:CLH:own:VerbForm=Part, node:CLH:own:rel_shallow=parataxis</t>
  </si>
  <si>
    <t>sent_id: 1850_1899_179_sec208 | rules: sentence:meta:period=1850_1899, node:X:own:Voice=Act, node:X:child:VerbForm={'Inf'}, node:CLH:own:Mood=Ind, node:CLH:own:Tense=Pres, node:CLH:own:VerbForm=Fin, node:CLH:own:rel_shallow=acl:relcl</t>
  </si>
  <si>
    <t>sent_id: 1850_1899_214_sec208 | rules: sentence:meta:period=1850_1899, node:X:own:Voice=Pass, node:X:child:VerbForm={'Inf'}, node:X:child:Polarity={'Neg'}, node:CLH:own:VerbForm=Sup, node:CLH:own:Voice=Act, node:CLH:own:rel_shallow=conj</t>
  </si>
  <si>
    <t>sent_id: 1850_1899_251_sec208 | rules: sentence:meta:period=1850_1899, node:X:own:Voice=Act, node:X:child:VerbForm={'Sup', 'Inf'}, node:CLH:own:Mood=Ind, node:CLH:own:Tense=Pres, node:CLH:own:VerbForm=Fin, node:CLH:own:Voice=Act, node:CLH:own:rel_shallow=root</t>
  </si>
  <si>
    <t>sent_id: 1850_1899_31_sec306 | rules: sentence:meta:period=1850_1899, node:X:own:Voice=Act, node:X:child:VerbForm={'Inf'}, node:CLH:own:Mood=Imp, node:CLH:own:VerbForm=Fin, node:CLH:own:Voice=Act, node:CLH:own:rel_shallow=root</t>
  </si>
  <si>
    <t>sent_id: 1850_1899_78_sec306 | rules: sentence:meta:period=1850_1899, node:X:own:Voice=Act, node:X:child:VerbForm={'Fin', 'Inf'}, node:X:child:Case={'Nom'}, node:X:child:Definite={'Def', 'Ind'}, node:X:child:Gender={'Com', 'Neut'}, node:X:child:Number={'Sing'}, node:X:child:PronType={'Prs'}, node:CLH:own:Mood=Ind, node:CLH:own:Tense=Pres, node:CLH:own:VerbForm=Fin, node:CLH:own:Voice=Act, node:CLH:own:rel_shallow=root</t>
  </si>
  <si>
    <t>sent_id: 1850_1899_172_sec306 | rules: sentence:meta:period=1850_1899, node:X:own:Voice=Act, node:X:child:Case={'Nom'}, node:X:child:Definite={'Def', 'Ind'}, node:X:child:Gender={'Com'}, node:X:child:Number={'Plur', 'Sing'}, node:X:child:PronType={'Prs'}, node:X:child:VerbForm={'Inf'}, node:CLH:own:Mood=Ind, node:CLH:own:Tense=Past, node:CLH:own:VerbForm=Fin, node:CLH:own:Voice=Act, node:CLH:own:rel_shallow=root</t>
  </si>
  <si>
    <t>sent_id: 1850_1899_312_sec306 | rules: sentence:meta:period=1850_1899, node:X:own:Voice=Act, node:X:child:Case={'Nom'}, node:X:child:Definite={'Ind'}, node:X:child:Gender={'Com', 'Neut'}, node:X:child:Number={'Sing'}, node:X:child:VerbForm={'Fin'}, node:CLH:own:Mood=Ind, node:CLH:own:Tense=Past, node:CLH:own:VerbForm=Fin, node:CLH:own:Voice=Act, node:CLH:own:rel_shallow=root</t>
  </si>
  <si>
    <t>sent_id: 1850_1899_158_sec307 | rules: sentence:meta:period=1850_1899, node:X:own:Voice=Act, node:X:child:VerbForm={'Fin'}, node:X:child:Case={'Nom'}, node:X:child:Definite={'Def'}, node:X:child:Gender={'Com'}, node:X:child:Number={'Sing'}, node:X:child:PronType={'Prs'}, node:CLH:own:Mood=Ind, node:CLH:own:Tense=Past, node:CLH:own:VerbForm=Fin, node:CLH:own:Voice=Act, node:CLH:own:rel_shallow=root</t>
  </si>
  <si>
    <t>sent_id: 1850_1899_301_sec307 | rules: sentence:meta:period=1850_1899, node:X:own:Voice=Act, node:X:child:Case={'Nom'}, node:X:child:Definite={'Def', 'Ind'}, node:X:child:Degree={'Pos'}, node:X:child:Gender={'Com'}, node:X:child:Number={'Sing'}, node:X:child:VerbForm={'Part', 'Fin'}, node:X:child:Foreign={'Yes'}, node:CLH:own:VerbForm=Inf, node:CLH:own:Voice=Act, node:CLH:own:rel_shallow=root</t>
  </si>
  <si>
    <t>sent_id: 1850_1899_304_sec307 | rules: sentence:meta:period=1850_1899, node:X:own:Voice=Act, node:X:child:Case={'Nom'}, node:X:child:Definite={'Ind'}, node:X:child:Gender={'Com', 'Neut'}, node:X:child:Number={'Sing'}, node:X:child:VerbForm={'Inf'}, node:X:child:PronType={'Prs'}, node:CLH:own:Mood=Ind, node:CLH:own:Tense=Pres, node:CLH:own:VerbForm=Fin, node:CLH:own:Voice=Act, node:CLH:own:rel_shallow=ccomp</t>
  </si>
  <si>
    <t>sent_id: 1850_1899_408_sec339 | rules: sentence:meta:period=1850_1899, node:X:own:Voice=Act, node:X:child:VerbForm={'Sup', 'Fin'}, node:X:child:Case={'Nom'}, node:X:child:Definite={'Def'}, node:X:child:Gender={'Com'}, node:X:child:Number={'Sing'}, node:X:child:PronType={'Prs'}, node:CLH:own:Case=Nom, node:CLH:own:Definite=Ind, node:CLH:own:Degree=Pos, node:CLH:own:Gender=Neut, node:CLH:own:Number=Sing, node:CLH:own:rel_shallow=root</t>
  </si>
  <si>
    <t>sent_id: 1850_1899_457_sec339 | rules: sentence:meta:period=1850_1899, node:X:own:Voice=Act, node:X:child:VerbForm={'Fin', 'Inf'}, node:X:child:Case={'Nom'}, node:X:child:Definite={'Def', 'Ind'}, node:X:child:Degree={'Pos'}, node:X:child:Gender={'Com', 'Neut'}, node:X:child:Number={'Sing'}, node:X:child:PronType={'Rel'}, node:CLH:own:Mood=Ind, node:CLH:own:Tense=Past, node:CLH:own:VerbForm=Fin, node:CLH:own:Voice=Act, node:CLH:own:rel_shallow=root</t>
  </si>
  <si>
    <t>sent_id: 1850_1899_458_sec339 | rules: sentence:meta:period=1850_1899, node:X:own:Voice=Act, node:X:child:VerbForm={'Sup', 'Fin'}, node:X:child:Case={'Nom'}, node:X:child:Definite={'Def'}, node:X:child:Gender={'Com'}, node:X:child:Number={'Sing'}, node:CLH:own:VerbForm=Sup, node:CLH:own:Voice=Act, node:CLH:own:rel_shallow=root</t>
  </si>
  <si>
    <t>sent_id: 1850_1899_841_sec339 | rules: sentence:meta:period=1850_1899, node:X:own:Voice=Pass, node:X:child:VerbForm={'Inf'}, node:CLH:own:Mood=Ind, node:CLH:own:Tense=Pres, node:CLH:own:VerbForm=Fin, node:CLH:own:Voice=Pass, node:CLH:own:rel_shallow=root</t>
  </si>
  <si>
    <t>sent_id: 1850_1899_978_sec339 | rules: sentence:meta:period=1850_1899, node:X:own:Voice=Act, node:X:child:Case={'Nom', 'Acc'}, node:X:child:Definite={'Def', 'Ind'}, node:X:child:Gender={'Com'}, node:X:child:Number={'Sing'}, node:X:child:Degree={'Pos'}, node:X:child:PronType={'Prs'}, node:X:child:VerbForm={'Fin'}, node:CLH:own:Mood=Ind, node:CLH:own:Tense=Pres, node:CLH:own:VerbForm=Fin, node:CLH:own:Voice=Act, node:CLH:own:rel_shallow=acl:cleft</t>
  </si>
  <si>
    <t>sent_id: 1850_1899_1104_sec339 | rules: sentence:meta:period=1850_1899, node:X:own:Voice=Act, node:X:child:VerbForm={'Fin', 'Inf'}, node:X:child:Case={'Nom'}, node:X:child:Definite={'Def'}, node:X:child:Gender={'Com'}, node:X:child:Number={'Sing'}, node:CLH:own:Mood=Ind, node:CLH:own:Tense=Past, node:CLH:own:VerbForm=Fin, node:CLH:own:Voice=Act, node:CLH:own:rel_shallow=root</t>
  </si>
  <si>
    <t>sent_id: 1850_1899_1158_sec339 | rules: sentence:meta:period=1850_1899, node:X:own:Voice=Act, node:X:child:Case={'Nom'}, node:X:child:Definite={'Def', 'Ind'}, node:X:child:Gender={'Com', 'Neut'}, node:X:child:Number={'Sing'}, node:X:child:VerbForm={'Fin'}, node:X:child:PronType={'Prs'}, node:CLH:own:Mood=Ind, node:CLH:own:Tense=Past, node:CLH:own:VerbForm=Fin, node:CLH:own:Voice=Act, node:CLH:own:rel_shallow=root</t>
  </si>
  <si>
    <t>sent_id: 1850_1899_1166_sec339 | rules: sentence:meta:period=1850_1899, node:X:own:Voice=Act, node:X:child:Case={'Nom'}, node:X:child:Definite={'Def'}, node:X:child:Number={'Plur'}, node:X:child:PronType={'Prs'}, node:X:child:VerbForm={'Inf'}, node:CLH:own:VerbForm=Inf, node:CLH:own:Voice=Act, node:CLH:own:rel_shallow=root</t>
  </si>
  <si>
    <t>sent_id: 1850_1899_151_sec415 | rules: sentence:meta:period=1850_1899, node:X:own:Voice=Act, node:X:child:Case={'Nom', 'Gen', 'Acc'}, node:X:child:Definite={'Def', 'Ind'}, node:X:child:Gender={'Com', 'Neut'}, node:X:child:Number={'Plur', 'Sing'}, node:X:child:PronType={'Prs'}, node:X:child:VerbForm={'Fin'}, node:CLH:own:VerbForm=Sup, node:CLH:own:Voice=Pass, node:CLH:own:rel_shallow=root</t>
  </si>
  <si>
    <t>sent_id: 1850_1899_51_sec452 | rules: sentence:meta:period=1850_1899, node:X:own:Voice=Act, node:X:child:VerbForm={'Sup', 'Fin'}, node:X:child:Case={'Nom'}, node:X:child:Definite={'Def', 'Ind'}, node:X:child:Gender={'Com', 'Neut'}, node:X:child:Number={'Sing'}, node:X:child:PronType={'Prs'}, node:CLH:own:VerbForm=Inf, node:CLH:own:rel_shallow=xcomp</t>
  </si>
  <si>
    <t>sent_id: 1850_1899_125_sec452 | rules: sentence:meta:period=1850_1899, node:X:own:Voice=Act, node:X:child:Case={'Nom'}, node:X:child:Definite={'Def', 'Ind'}, node:X:child:Gender={'Com', 'Neut'}, node:X:child:Number={'Sing'}, node:X:child:VerbForm={'Fin'}, node:X:child:Degree={'Pos'}, node:CLH:own:Mood=Ind, node:CLH:own:Tense=Past, node:CLH:own:VerbForm=Fin, node:CLH:own:Voice=Act, node:CLH:own:rel_shallow=root</t>
  </si>
  <si>
    <t>sent_id: 1850_1899_127_sec452 | rules: sentence:meta:period=1850_1899, node:X:own:Voice=Act, node:X:child:VerbForm={'Fin'}, node:X:child:Case={'Nom'}, node:X:child:Definite={'Def'}, node:X:child:Gender={'Com', 'Neut'}, node:X:child:Number={'Sing'}, node:X:child:PronType={'Prs'}, node:CLH:own:Case=Nom, node:CLH:own:Definite=Ind, node:CLH:own:Gender=Com, node:CLH:own:Number=Sing, node:CLH:own:rel_shallow=obj</t>
  </si>
  <si>
    <t>sent_id: 1850_1899_242_sec452 | rules: sentence:meta:period=1850_1899, node:X:own:Voice=Act, node:X:child:Case={'Nom', 'Acc'}, node:X:child:Definite={'Def'}, node:X:child:Number={'Plur', 'Sing'}, node:X:child:PronType={'Prs'}, node:X:child:Degree={'Pos'}, node:X:child:VerbForm={'Fin'}, node:X:child:Gender={'Com'}, node:CLH:own:Mood=Ind, node:CLH:own:Tense=Past, node:CLH:own:VerbForm=Fin, node:CLH:own:Voice=Act, node:CLH:own:rel_shallow=root</t>
  </si>
  <si>
    <t>sent_id: 1850_1899_249_sec452 | rules: sentence:meta:period=1850_1899, node:X:own:Voice=Act, node:X:child:VerbForm={'Inf'}, node:X:child:Case={'Nom'}, node:X:child:Definite={'Def'}, node:X:child:Gender={'Com'}, node:X:child:Number={'Plur'}, node:X:child:PronType={'Prs'}, node:CLH:own:Case=Nom, node:CLH:own:Definite=Ind, node:CLH:own:Gender=Com, node:CLH:own:Number=Sing, node:CLH:own:rel_shallow=root</t>
  </si>
  <si>
    <t>sent_id: 1850_1899_303_sec452 | rules: sentence:meta:period=1850_1899, node:X:own:Voice=Act, node:X:child:Case={'Nom'}, node:X:child:Definite={'Def', 'Ind'}, node:X:child:Gender={'Com'}, node:X:child:Number={'Sing'}, node:X:child:VerbForm={'Inf'}, node:CLH:own:Mood=Ind, node:CLH:own:Tense=Past, node:CLH:own:VerbForm=Fin, node:CLH:own:Voice=Act, node:CLH:own:rel_shallow=root</t>
  </si>
  <si>
    <t>sent_id: 1850_1899_356_sec452 | rules: sentence:meta:period=1850_1899, node:X:own:Voice=Act, node:X:child:VerbForm={'Part', 'Inf'}, node:X:child:Case={'Nom'}, node:X:child:Definite={'Def'}, node:X:child:Gender={'Com'}, node:X:child:Number={'Plur'}, node:X:child:PronType={'Prs'}, node:X:child:Degree={'Pos'}, node:CLH:own:Mood=Ind, node:CLH:own:Tense=Pres, node:CLH:own:VerbForm=Fin, node:CLH:own:Voice=Act, node:CLH:own:rel_shallow=advcl</t>
  </si>
  <si>
    <t>sent_id: 1850_1899_457_sec452 | rules: sentence:meta:period=1850_1899, node:X:own:Voice=Act, node:X:child:Case={'Nom', 'Acc'}, node:X:child:Definite={'Def', 'Ind'}, node:X:child:Gender={'Neut'}, node:X:child:Number={'Sing'}, node:X:child:PronType={'Prs'}, node:X:child:VerbForm={'Inf'}, node:CLH:own:Mood=Ind, node:CLH:own:Tense=Past, node:CLH:own:VerbForm=Fin, node:CLH:own:Voice=Act, node:CLH:own:rel_shallow=parataxis</t>
  </si>
  <si>
    <t>sent_id: 1850_1899_509_sec452 | rules: sentence:meta:period=1850_1899, node:X:own:Voice=Act, node:X:child:Case={'Nom'}, node:X:child:Definite={'Ind'}, node:X:child:Degree={'Pos'}, node:X:child:Number={'Sing'}, node:X:child:VerbForm={'Part', 'Inf'}, node:X:child:Gender={'Com'}, node:CLH:own:VerbForm=Sup, node:CLH:own:Voice=Act, node:CLH:own:rel_shallow=acl:cleft</t>
  </si>
  <si>
    <t>sent_id: 1850_1899_583_sec452 | rules: sentence:meta:period=1850_1899, node:X:own:Voice=Act, node:X:child:Case={'Nom', 'Acc'}, node:X:child:Definite={'Def', 'Ind'}, node:X:child:PronType={'Prs'}, node:X:child:VerbForm={'Fin'}, node:X:child:Gender={'Com'}, node:X:child:Number={'Sing'}, node:CLH:own:rel_shallow=advmod</t>
  </si>
  <si>
    <t>sent_id: 1850_1899_611_sec452 | rules: sentence:meta:period=1850_1899, node:X:own:Voice=Act, node:X:child:Case={'Nom', 'Acc'}, node:X:child:Definite={'Def'}, node:X:child:Gender={'Com'}, node:X:child:Number={'Sing'}, node:X:child:PronType={'Prs'}, node:X:child:VerbForm={'Fin'}, node:CLH:own:Mood=Ind, node:CLH:own:Tense=Pres, node:CLH:own:VerbForm=Fin, node:CLH:own:Voice=Act, node:CLH:own:rel_shallow=conj</t>
  </si>
  <si>
    <t>sent_id: 1850_1899_671_sec452 | rules: sentence:meta:period=1850_1899, node:X:own:Voice=Act, node:X:child:VerbForm={'Fin'}, node:X:child:Case={'Nom'}, node:X:child:Definite={'Def'}, node:X:child:Gender={'Com'}, node:X:child:Number={'Sing'}, node:X:child:PronType={'Prs'}, node:CLH:own:Case=Nom, node:CLH:own:Definite=Ind, node:CLH:own:Gender=Com, node:CLH:own:Number=Sing, node:CLH:own:rel_shallow=obl</t>
  </si>
  <si>
    <t>sent_id: 1850_1899_675_sec452 | rules: sentence:meta:period=1850_1899, node:X:own:Voice=Act, node:X:child:Case={'Nom'}, node:X:child:Definite={'Def'}, node:X:child:Gender={'Com'}, node:X:child:Number={'Sing'}, node:X:child:VerbForm={'Fin'}, node:CLH:own:Mood=Ind, node:CLH:own:Tense=Past, node:CLH:own:VerbForm=Fin, node:CLH:own:Voice=Act, node:CLH:own:rel_shallow=root</t>
  </si>
  <si>
    <t>sent_id: 1850_1899_841_sec452 | rules: sentence:meta:period=1850_1899, node:X:own:Voice=Act, node:X:child:VerbForm={'Fin', 'Inf'}, node:X:child:Case={'Nom', 'Acc'}, node:X:child:Definite={'Def', 'Ind'}, node:X:child:Gender={'Com'}, node:X:child:Number={'Sing'}, node:X:child:PronType={'Prs', 'Ind'}, node:CLH:own:Mood=Ind, node:CLH:own:Tense=Past, node:CLH:own:VerbForm=Fin, node:CLH:own:Voice=Act, node:CLH:own:rel_shallow=conj</t>
  </si>
  <si>
    <t>sent_id: 1850_1899_902_sec452 | rules: sentence:meta:period=1850_1899, node:X:own:Voice=Act, node:X:child:Case={'Nom'}, node:X:child:Definite={'Ind'}, node:X:child:Gender={'Com'}, node:X:child:Number={'Plur', 'Sing'}, node:X:child:VerbForm={'Fin'}, node:CLH:own:Mood=Ind, node:CLH:own:Tense=Past, node:CLH:own:VerbForm=Fin, node:CLH:own:Voice=Act, node:CLH:own:rel_shallow=root</t>
  </si>
  <si>
    <t>sent_id: 1850_1899_914_sec452 | rules: sentence:meta:period=1850_1899, node:X:own:Voice=Act, node:X:child:Case={'Nom'}, node:X:child:Definite={'Def', 'Ind'}, node:X:child:Gender={'Com', 'Neut'}, node:X:child:Number={'Plur', 'Sing'}, node:X:child:VerbForm={'Fin'}, node:X:child:PronType={'Prs'}, node:CLH:own:Mood=Ind, node:CLH:own:Tense=Pres, node:CLH:own:VerbForm=Fin, node:CLH:own:Voice=Act, node:CLH:own:rel_shallow=root</t>
  </si>
  <si>
    <t>sent_id: 1850_1899_922_sec452 | rules: sentence:meta:period=1850_1899, node:X:own:Voice=Act, node:X:child:Case={'Nom'}, node:X:child:Definite={'Def', 'Ind'}, node:X:child:Gender={'Com', 'Neut'}, node:X:child:Number={'Plur', 'Sing'}, node:X:child:VerbForm={'Fin'}, node:X:child:PronType={'Prs'}, node:CLH:own:Mood=Ind, node:CLH:own:Tense=Past, node:CLH:own:VerbForm=Fin, node:CLH:own:Voice=Act, node:CLH:own:rel_shallow=conj</t>
  </si>
  <si>
    <t>sent_id: 1850_1899_939_sec452 | rules: sentence:meta:period=1850_1899, node:X:own:Voice=Act, node:X:child:Case={'Nom'}, node:X:child:Definite={'Def', 'Ind'}, node:X:child:Gender={'Com', 'Neut'}, node:X:child:Number={'Sing'}, node:X:child:VerbForm={'Fin'}, node:X:child:PronType={'Prs'}, node:CLH:own:Mood=Ind, node:CLH:own:Tense=Pres, node:CLH:own:VerbForm=Fin, node:CLH:own:Voice=Act, node:CLH:own:rel_shallow=root</t>
  </si>
  <si>
    <t>sent_id: 1850_1899_977_sec452 | rules: sentence:meta:period=1850_1899, node:X:own:Voice=Act, node:X:child:Case={'Nom'}, node:X:child:Definite={'Def', 'Ind'}, node:X:child:Degree={'Pos'}, node:X:child:Number={'Sing'}, node:X:child:VerbForm={'Part', 'Fin'}, node:X:child:Gender={'Com'}, node:CLH:own:Mood=Ind, node:CLH:own:Tense=Past, node:CLH:own:VerbForm=Fin, node:CLH:own:Voice=Act, node:CLH:own:rel_shallow=root</t>
  </si>
  <si>
    <t>sent_id: 1850_1899_1011_sec452 | rules: sentence:meta:period=1850_1899, node:X:own:Voice=Act, node:X:child:Case={'Nom', 'Acc'}, node:X:child:Definite={'Def'}, node:X:child:Gender={'Com'}, node:X:child:Number={'Plur', 'Sing'}, node:X:child:PronType={'Prs'}, node:X:child:VerbForm={'Inf'}, node:CLH:own:Case=Nom, node:CLH:own:Definite=Ind, node:CLH:own:Degree=Pos, node:CLH:own:Number=Plur, node:CLH:own:rel_shallow=root</t>
  </si>
  <si>
    <t>sent_id: 1850_1899_1021_sec452 | rules: sentence:meta:period=1850_1899, node:X:own:Voice=Act, node:X:child:Case={'Nom'}, node:X:child:Definite={'Def'}, node:X:child:Gender={'Com'}, node:X:child:Number={'Sing'}, node:X:child:VerbForm={'Sup', 'Fin'}, node:X:child:PronType={'Prs'}, node:CLH:own:Mood=Ind, node:CLH:own:Tense=Past, node:CLH:own:VerbForm=Fin, node:CLH:own:Voice=Act, node:CLH:own:rel_shallow=conj</t>
  </si>
  <si>
    <t>sent_id: 1850_1899_1078_sec452 | rules: sentence:meta:period=1850_1899, node:X:own:Voice=Act, node:X:child:Case={'Nom'}, node:X:child:Definite={'Def'}, node:X:child:Gender={'Com'}, node:X:child:Number={'Plur', 'Sing'}, node:X:child:VerbForm={'Fin'}, node:X:child:PronType={'Prs'}, node:CLH:own:VerbForm=Inf, node:CLH:own:Voice=Act, node:CLH:own:rel_shallow=root</t>
  </si>
  <si>
    <t>sent_id: 1850_1899_1135_sec452 | rules: sentence:meta:period=1850_1899, node:X:own:Voice=Act, node:X:child:Case={'Nom'}, node:X:child:Definite={'Ind'}, node:X:child:Gender={'Neut'}, node:X:child:Number={'Sing'}, node:X:child:VerbForm={'Fin'}, node:CLH:own:Mood=Ind, node:CLH:own:Tense=Past, node:CLH:own:VerbForm=Fin, node:CLH:own:Voice=Act, node:CLH:own:rel_shallow=conj</t>
  </si>
  <si>
    <t>sent_id: 1850_1899_1180_sec452 | rules: sentence:meta:period=1850_1899, node:X:own:Voice=Act, node:X:child:Case={'Nom', 'Acc'}, node:X:child:Definite={'Def'}, node:X:child:Gender={'Com'}, node:X:child:Number={'Sing'}, node:X:child:PronType={'Prs'}, node:X:child:VerbForm={'Sup', 'Fin'}, node:X:child:Degree={'Pos'}, node:CLH:own:Mood=Ind, node:CLH:own:Tense=Past, node:CLH:own:VerbForm=Fin, node:CLH:own:Voice=Act, node:CLH:own:rel_shallow=root</t>
  </si>
  <si>
    <t>sent_id: 1850_1899_76_sec486 | rules: sentence:meta:period=1850_1899, node:X:own:Voice=Act, node:X:child:Case={'Nom'}, node:X:child:Definite={'Def'}, node:X:child:Gender={'Com'}, node:X:child:Number={'Sing'}, node:X:child:VerbForm={'Fin'}, node:X:child:PronType={'Rel'}, node:CLH:own:Mood=Ind, node:CLH:own:Tense=Past, node:CLH:own:VerbForm=Fin, node:CLH:own:Voice=Pass, node:CLH:own:rel_shallow=root</t>
  </si>
  <si>
    <t>sent_id: 1850_1899_103_sec486 | rules: sentence:meta:period=1850_1899, node:X:own:Voice=Act, node:X:child:VerbForm={'Fin', 'Inf'}, node:X:child:Definite={'Def'}, node:X:child:Gender={'Neut'}, node:X:child:Number={'Sing'}, node:X:child:PronType={'Prs'}, node:CLH:own:VerbForm=Sup, node:CLH:own:Voice=Act, node:CLH:own:rel_shallow=acl:relcl</t>
  </si>
  <si>
    <t>sent_id: 1850_1899_163_sec486 | rules: sentence:meta:period=1850_1899, node:X:own:Voice=Act, node:X:child:Case={'Nom', 'Acc'}, node:X:child:Definite={'Def', 'Ind'}, node:X:child:Gender={'Com'}, node:X:child:Number={'Sing'}, node:X:child:PronType={'Prs', 'Ind'}, node:X:child:VerbForm={'Fin'}, node:CLH:own:Mood=Ind, node:CLH:own:Tense=Past, node:CLH:own:VerbForm=Fin, node:CLH:own:Voice=Act, node:CLH:own:rel_shallow=root</t>
  </si>
  <si>
    <t>sent_id: 1850_1899_222_sec486 | rules: sentence:meta:period=1850_1899, node:X:own:Voice=Act, node:X:child:Definite={'Def', 'Ind'}, node:X:child:Gender={'Com', 'Neut'}, node:X:child:Number={'Sing'}, node:X:child:PronType={'Dem', 'Ind'}, node:X:child:VerbForm={'Fin'}, node:CLH:own:VerbForm=Sup, node:CLH:own:Voice=Act, node:CLH:own:rel_shallow=root</t>
  </si>
  <si>
    <t>sent_id: 1850_1899_230_sec486 | rules: sentence:meta:period=1850_1899, node:X:own:Voice=Act, node:X:child:VerbForm={'Fin', 'Inf'}, node:X:child:Case={'Nom'}, node:X:child:Definite={'Def'}, node:X:child:Gender={'Com', 'Neut'}, node:X:child:Number={'Plur', 'Sing'}, node:CLH:own:Case=Nom, node:CLH:own:Definite=Ind, node:CLH:own:Gender=Neut, node:CLH:own:Number=Plur, node:CLH:own:rel_shallow=root</t>
  </si>
  <si>
    <t>sent_id: 1850_1899_241_sec486 | rules: sentence:meta:period=1850_1899, node:X:own:Voice=Act, node:X:child:VerbForm={'Fin', 'Inf'}, node:X:child:Case={'Nom', 'Acc'}, node:X:child:Definite={'Def', 'Ind'}, node:X:child:PronType={'Prs', 'Rel'}, node:X:child:Gender={'Com'}, node:X:child:Number={'Sing'}, node:CLH:own:Mood=Ind, node:CLH:own:Tense=Past, node:CLH:own:VerbForm=Fin, node:CLH:own:Voice=Act, node:CLH:own:rel_shallow=root</t>
  </si>
  <si>
    <t>sent_id: 1850_1899_261_sec486 | rules: sentence:meta:period=1850_1899, node:X:own:Voice=Act, node:X:child:VerbForm={'Fin', 'Inf'}, node:X:child:Case={'Nom'}, node:X:child:Definite={'Def'}, node:X:child:Gender={'Com'}, node:X:child:Number={'Sing'}, node:X:child:PronType={'Prs'}, node:CLH:own:Case=Nom, node:CLH:own:Definite=Def, node:CLH:own:Gender=Neut, node:CLH:own:Number=Sing, node:CLH:own:rel_shallow=obl</t>
  </si>
  <si>
    <t>sent_id: 1850_1899_283_sec486 | rules: sentence:meta:period=1850_1899, node:X:own:Voice=Act, node:X:child:Case={'Nom'}, node:X:child:Definite={'Def', 'Ind'}, node:X:child:Gender={'Com', 'Neut'}, node:X:child:Number={'Sing'}, node:X:child:PronType={'Prs', 'Rel'}, node:X:child:VerbForm={'Fin'}, node:CLH:own:Mood=Ind, node:CLH:own:Tense=Past, node:CLH:own:VerbForm=Fin, node:CLH:own:Voice=Act, node:CLH:own:rel_shallow=root</t>
  </si>
  <si>
    <t>sent_id: 1850_1899_304_sec486 | rules: sentence:meta:period=1850_1899, node:X:own:Voice=Act, node:X:child:VerbForm={'Sup', 'Fin'}, node:X:child:Case={'Nom', 'Acc'}, node:X:child:Definite={'Def', 'Ind'}, node:X:child:Gender={'Com'}, node:X:child:Number={'Plur', 'Sing'}, node:X:child:PronType={'Prs'}, node:CLH:own:VerbForm=Sup, node:CLH:own:Voice=Act, node:CLH:own:rel_shallow=advcl</t>
  </si>
  <si>
    <t>sent_id: 1850_1899_304_sec486 | rules: sentence:meta:period=1850_1899, node:X:own:Voice=Act, node:X:child:Case={'Nom', 'Acc'}, node:X:child:Definite={'Def', 'Ind'}, node:X:child:Gender={'Com'}, node:X:child:Number={'Sing'}, node:X:child:PronType={'Prs'}, node:X:child:VerbForm={'Fin'}, node:X:child:Polarity={'Neg'}, node:X:child:Degree={'Pos'}, node:CLH:own:VerbForm=Sup, node:CLH:own:Voice=Act, node:CLH:own:rel_shallow=advcl</t>
  </si>
  <si>
    <t>sent_id: 1850_1899_413_sec486 | rules: sentence:meta:period=1850_1899, node:X:own:Voice=Act, node:X:child:Case={'Nom'}, node:X:child:Definite={'Def', 'Ind'}, node:X:child:Gender={'Com'}, node:X:child:Number={'Plur', 'Sing'}, node:X:child:VerbForm={'Fin'}, node:X:child:Polarity={'Neg'}, node:CLH:own:VerbForm=Sup, node:CLH:own:Voice=Act, node:CLH:own:rel_shallow=root</t>
  </si>
  <si>
    <t>sent_id: 1850_1899_504_sec486 | rules: sentence:meta:period=1850_1899, node:X:own:Voice=Act, node:X:child:Case={'Nom'}, node:X:child:Definite={'Ind'}, node:X:child:Gender={'Com'}, node:X:child:Number={'Plur', 'Sing'}, node:X:child:VerbForm={'Fin'}, node:CLH:own:VerbForm=Inf, node:CLH:own:Voice=Act, node:CLH:own:rel_shallow=root</t>
  </si>
  <si>
    <t>sent_id: 1850_1899_4_sec492 | rules: sentence:meta:period=1850_1899, node:X:own:Voice=Act, node:X:child:VerbForm={'Fin', 'Inf'}, node:X:child:Case={'Nom'}, node:X:child:Definite={'Ind'}, node:X:child:Gender={'Com'}, node:X:child:Number={'Plur', 'Sing'}, node:X:child:PronType={'Ind'}, node:CLH:own:Case=Nom, node:CLH:own:Definite=Ind, node:CLH:own:Degree=Pos, node:CLH:own:Gender=Com, node:CLH:own:Number=Sing, node:CLH:own:rel_shallow=ccomp</t>
  </si>
  <si>
    <t>sent_id: 1850_1899_191_sec492 | rules: sentence:meta:period=1850_1899, node:X:own:Voice=Act, node:X:child:VerbForm={'Sup', 'Fin', 'Inf'}, node:X:child:Case={'Nom'}, node:X:child:Definite={'Def'}, node:X:child:Gender={'Com'}, node:X:child:Number={'Sing'}, node:X:child:PronType={'Prs'}, node:CLH:own:VerbForm=Inf, node:CLH:own:Voice=Act, node:CLH:own:rel_shallow=root</t>
  </si>
  <si>
    <t>sent_id: 1850_1899_323_sec492 | rules: sentence:meta:period=1850_1899, node:X:own:Voice=Act, node:X:child:Case={'Acc'}, node:X:child:Definite={'Def'}, node:X:child:Gender={'Com'}, node:X:child:Number={'Sing'}, node:X:child:PronType={'Prs'}, node:X:child:VerbForm={'Inf'}, node:CLH:own:VerbForm=Sup, node:CLH:own:Voice=Act, node:CLH:own:rel_shallow=conj</t>
  </si>
  <si>
    <t>sent_id: 1850_1899_381_sec492 | rules: sentence:meta:period=1850_1899, node:X:own:Voice=Act, node:X:child:Case={'Nom', 'Acc'}, node:X:child:Definite={'Def', 'Ind'}, node:X:child:Degree={'Pos'}, node:X:child:Number={'Sing'}, node:X:child:VerbForm={'Part', 'Inf'}, node:X:child:Gender={'Com'}, node:X:child:PronType={'Prs'}, node:CLH:own:VerbForm=Inf, node:CLH:own:Voice=Act, node:CLH:own:rel_shallow=root</t>
  </si>
  <si>
    <t>sent_id: 1850_1899_424_sec492 | rules: sentence:meta:period=1850_1899, node:X:own:Voice=Act, node:X:child:VerbForm={'Fin'}, node:X:child:Case={'Nom'}, node:X:child:Definite={'Def'}, node:X:child:Gender={'Com'}, node:X:child:Number={'Sing'}, node:X:child:PronType={'Prs'}, node:CLH:own:Mood=Ind, node:CLH:own:Tense=Past, node:CLH:own:VerbForm=Fin, node:CLH:own:Voice=Act, node:CLH:own:rel_shallow=conj</t>
  </si>
  <si>
    <t>sent_id: 1850_1899_714_sec492 | rules: sentence:meta:period=1850_1899, node:X:own:Voice=Act, node:X:child:VerbForm={'Sup', 'Fin'}, node:X:child:Case={'Nom', 'Acc'}, node:X:child:Definite={'Def'}, node:X:child:Gender={'Com'}, node:X:child:Number={'Sing'}, node:X:child:PronType={'Prs'}, node:X:child:Degree={'Pos'}, node:CLH:own:Mood=Ind, node:CLH:own:Tense=Past, node:CLH:own:VerbForm=Fin, node:CLH:own:Voice=Act, node:CLH:own:rel_shallow=root</t>
  </si>
  <si>
    <t>sent_id: 1850_1899_722_sec492 | rules: sentence:meta:period=1850_1899, node:X:own:Voice=Act, node:X:child:Case={'Nom'}, node:X:child:Definite={'Ind'}, node:X:child:Degree={'Pos'}, node:X:child:Gender={'Neut'}, node:X:child:Number={'Sing'}, node:X:child:VerbForm={'Inf'}, node:CLH:own:Mood=Ind, node:CLH:own:Tense=Pres, node:CLH:own:VerbForm=Fin, node:CLH:own:Voice=Act, node:CLH:own:rel_shallow=ccomp</t>
  </si>
  <si>
    <t>sent_id: 1850_1899_756_sec492 | rules: sentence:meta:period=1850_1899, node:X:own:Voice=Act, node:X:child:VerbForm={'Sup'}, node:X:child:Case={'Nom'}, node:X:child:Definite={'Def', 'Ind'}, node:X:child:Gender={'Com'}, node:X:child:Number={'Sing'}, node:X:child:PronType={'Prs', 'Rel'}, node:CLH:own:Case=Nom, node:CLH:own:Definite=Ind, node:CLH:own:Degree=Pos, node:CLH:own:Gender=Com, node:CLH:own:Number=Sing, node:CLH:own:Tense=Past, node:CLH:own:VerbForm=Part, node:CLH:own:rel_shallow=root</t>
  </si>
  <si>
    <t>sent_id: 1850_1899_838_sec492 | rules: sentence:meta:period=1850_1899, node:X:own:Voice=Act, node:X:child:VerbForm={'Fin'}, node:X:child:Case={'Nom'}, node:X:child:Definite={'Def'}, node:X:child:Gender={'Com'}, node:X:child:Number={'Sing'}, node:CLH:own:Mood=Ind, node:CLH:own:Tense=Past, node:CLH:own:VerbForm=Fin, node:CLH:own:Voice=Act, node:CLH:own:rel_shallow=root</t>
  </si>
  <si>
    <t>sent_id: 1850_1899_841_sec492 | rules: sentence:meta:period=1850_1899, node:X:own:Voice=Act, node:X:child:Case={'Nom'}, node:X:child:Definite={'Ind'}, node:X:child:Gender={'Com'}, node:X:child:Number={'Sing'}, node:X:child:VerbForm={'Inf'}, node:CLH:own:Mood=Ind, node:CLH:own:Tense=Pres, node:CLH:own:VerbForm=Fin, node:CLH:own:Voice=Act, node:CLH:own:rel_shallow=ccomp</t>
  </si>
  <si>
    <t>sent_id: 1850_1899_139_sec885 | rules: sentence:meta:period=1850_1899, node:X:own:Voice=Act, node:X:child:VerbForm={'Inf'}, node:X:child:Case={'Nom'}, node:X:child:Definite={'Ind'}, node:X:child:Gender={'Com'}, node:X:child:Number={'Sing'}, node:CLH:own:Case=Nom, node:CLH:own:Definite=Ind, node:CLH:own:Gender=Com, node:CLH:own:Number=Sing, node:CLH:own:rel_shallow=obl</t>
  </si>
  <si>
    <t>sent_id: 1850_1899_202_sec885 | rules: sentence:meta:period=1850_1899, node:X:own:Voice=Act, node:X:child:Case={'Nom', 'Acc'}, node:X:child:Definite={'Def', 'Ind'}, node:X:child:Gender={'Com'}, node:X:child:Number={'Sing'}, node:X:child:PronType={'Prs'}, node:X:child:VerbForm={'Fin'}, node:CLH:own:Mood=Ind, node:CLH:own:Tense=Past, node:CLH:own:VerbForm=Fin, node:CLH:own:Voice=Pass, node:CLH:own:rel_shallow=root</t>
  </si>
  <si>
    <t>sent_id: 1850_1899_251_sec885 | rules: sentence:meta:period=1850_1899, node:X:own:Voice=Act, node:X:child:VerbForm={'Fin', 'Inf'}, node:X:child:Case={'Nom'}, node:X:child:Definite={'Ind'}, node:X:child:Gender={'Com'}, node:X:child:Number={'Sing'}, node:CLH:own:VerbForm=Sup, node:CLH:own:Voice=Act, node:CLH:own:rel_shallow=advcl</t>
  </si>
  <si>
    <t>sent_id: 1850_1899_328_sec885 | rules: sentence:meta:period=1850_1899, node:X:own:Voice=Act, node:X:child:VerbForm={'Sup', 'Fin'}, node:X:child:Case={'Nom'}, node:X:child:Definite={'Def'}, node:X:child:Gender={'Com'}, node:X:child:Number={'Sing'}, node:CLH:own:Mood=Ind, node:CLH:own:Tense=Past, node:CLH:own:VerbForm=Fin, node:CLH:own:Voice=Act, node:CLH:own:rel_shallow=acl:relcl</t>
  </si>
  <si>
    <t>sent_id: 1850_1899_380_sec885 | rules: sentence:meta:period=1850_1899, node:X:own:Voice=Act, node:X:child:Case={'Nom', 'Acc'}, node:X:child:Definite={'Def', 'Ind'}, node:X:child:Gender={'Com'}, node:X:child:Number={'Plur', 'Sing'}, node:X:child:PronType={'Prs'}, node:X:child:VerbForm={'Fin'}, node:CLH:own:Case=Nom, node:CLH:own:Definite=Ind, node:CLH:own:Degree=Pos, node:CLH:own:Gender=Neut, node:CLH:own:Number=Sing, node:CLH:own:rel_shallow=root</t>
  </si>
  <si>
    <t>sent_id: 1850_1899_499_sec885 | rules: sentence:meta:period=1850_1899, node:X:own:Voice=Act, node:X:child:VerbForm={'Fin'}, node:X:child:Case={'Nom'}, node:X:child:Definite={'Def', 'Ind'}, node:X:child:Gender={'Com', 'Neut'}, node:X:child:Number={'Plur', 'Sing'}, node:X:child:PronType={'Prs', 'Int'}, node:CLH:own:Case=Nom, node:CLH:own:Definite=Ind, node:CLH:own:Gender=Neut, node:CLH:own:Number=Sing, node:CLH:own:rel_shallow=root</t>
  </si>
  <si>
    <t>sent_id: 1850_1899_532_sec885 | rules: sentence:meta:period=1850_1899, node:X:own:Voice=Act, node:X:child:Case={'Nom'}, node:X:child:Definite={'Def', 'Ind'}, node:X:child:Gender={'Com', 'Neut'}, node:X:child:Number={'Sing'}, node:X:child:VerbForm={'Fin'}, node:CLH:own:Case=Nom, node:CLH:own:Definite=Ind, node:CLH:own:Gender=Com, node:CLH:own:Number=Sing, node:CLH:own:rel_shallow=root</t>
  </si>
  <si>
    <t>sent_id: 1850_1899_542_sec885 | rules: sentence:meta:period=1850_1899, node:X:own:Voice=Act, node:X:child:Case={'Nom'}, node:X:child:Definite={'Def', 'Ind'}, node:X:child:Gender={'Com'}, node:X:child:Number={'Plur'}, node:X:child:PronType={'Prs'}, node:X:child:VerbForm={'Inf'}, node:CLH:own:Mood=Ind, node:CLH:own:Tense=Pres, node:CLH:own:VerbForm=Fin, node:CLH:own:Voice=Act, node:CLH:own:rel_shallow=root</t>
  </si>
  <si>
    <t>sent_id: 1800_1849_1120_sec252 | rules: sentence:meta:period=1800_1849, node:X:own:Voice=Act, node:X:child:Case={'Nom'}, node:X:child:VerbForm={'Fin', 'Inf'}, node:X:child:Definite={'Def'}, node:X:child:Gender={'Com'}, node:X:child:Number={'Sing'}, node:X:child:PronType={'Prs'}, node:CLH:own:Mood=Ind, node:CLH:own:Tense=Pres, node:CLH:own:VerbForm=Fin, node:CLH:own:Voice=Act, node:CLH:own:rel_shallow=root</t>
  </si>
  <si>
    <t>sent_id: 1800_1849_2057_sec252 | rules: sentence:meta:period=1800_1849, node:X:own:Voice=Act, node:X:child:Case={'Nom'}, node:X:child:Definite={'Def', 'Ind'}, node:X:child:Degree={'Pos'}, node:X:child:Gender={'Com', 'Neut'}, node:X:child:Number={'Sing'}, node:X:child:VerbForm={'Part', 'Fin'}, node:X:child:PronType={'Prs'}, node:CLH:own:VerbForm=Inf, node:CLH:own:Voice=Act, node:CLH:own:rel_shallow=root</t>
  </si>
  <si>
    <t>sent_id: 1800_1849_48_sec254 | rules: sentence:meta:period=1800_1849, node:X:own:Voice=Act, node:X:child:VerbForm={'Inf'}, node:X:child:Case={'Nom'}, node:CLH:own:VerbForm=Inf, node:CLH:own:Voice=Act, node:CLH:own:rel_shallow=root</t>
  </si>
  <si>
    <t>sent_id: 1800_1849_99_sec254 | rules: sentence:meta:period=1800_1849, node:X:own:Voice=Act, node:X:child:Case={'Nom'}, node:X:child:Definite={'Def', 'Ind'}, node:X:child:Gender={'Com'}, node:X:child:Number={'Sing'}, node:X:child:PronType={'Prs'}, node:X:child:VerbForm={'Fin'}, node:CLH:own:Mood=Ind, node:CLH:own:Tense=Past, node:CLH:own:VerbForm=Fin, node:CLH:own:Voice=Act, node:CLH:own:rel_shallow=root</t>
  </si>
  <si>
    <t>sent_id: 1800_1849_4_sec324 | rules: sentence:meta:period=1800_1849, node:X:own:Voice=Act, node:X:child:Case={'Nom'}, node:X:child:Definite={'Def'}, node:X:child:Degree={'Sup', 'Pos'}, node:X:child:VerbForm={'Inf'}, node:CLH:own:Case=Nom, node:CLH:own:Definite=Ind, node:CLH:own:Gender=Com, node:CLH:own:Number=Sing, node:CLH:own:rel_shallow=root</t>
  </si>
  <si>
    <t>sent_id: 1800_1849_67_sec324 | rules: sentence:meta:period=1800_1849, node:X:own:Voice=Act, node:X:child:Case={'Acc'}, node:X:child:Definite={'Def'}, node:X:child:Gender={'Com'}, node:X:child:Number={'Sing'}, node:X:child:PronType={'Prs'}, node:X:child:VerbForm={'Fin', 'Inf'}, node:CLH:own:Case=Nom, node:CLH:own:Definite=Ind, node:CLH:own:Degree=Pos, node:CLH:own:Gender=Com, node:CLH:own:Number=Sing, node:CLH:own:rel_shallow=advcl</t>
  </si>
  <si>
    <t>sent_id: 1800_1849_126_sec324 | rules: sentence:meta:period=1800_1849, node:X:own:Voice=Act, node:X:child:Case={'Nom'}, node:X:child:Definite={'Def', 'Ind'}, node:X:child:Gender={'Com', 'Neut'}, node:X:child:Number={'Sing'}, node:X:child:VerbForm={'Fin', 'Inf'}, node:X:child:PronType={'Prs'}, node:CLH:own:VerbForm=Inf, node:CLH:own:Voice=Act, node:CLH:own:rel_shallow=root</t>
  </si>
  <si>
    <t>sent_id: 1800_1849_140_sec324 | rules: sentence:meta:period=1800_1849, node:X:own:Voice=Act, node:X:child:Case={'Nom'}, node:X:child:Definite={'Ind'}, node:X:child:Gender={'Neut'}, node:X:child:Number={'Sing'}, node:X:child:VerbForm={'Fin'}, node:CLH:own:Mood=Ind, node:CLH:own:Tense=Pres, node:CLH:own:VerbForm=Fin, node:CLH:own:Voice=Act, node:CLH:own:rel_shallow=root</t>
  </si>
  <si>
    <t>sent_id: 1800_1849_141_sec324 | rules: sentence:meta:period=1800_1849, node:X:own:Voice=Act, node:X:child:Case={'Nom', 'Acc'}, node:X:child:Definite={'Def', 'Ind'}, node:X:child:Degree={'Pos'}, node:X:child:Gender={'Com', 'Neut'}, node:X:child:Number={'Sing'}, node:X:child:PronType={'Prs', 'Int'}, node:X:child:VerbForm={'Fin'}, node:CLH:own:Mood=Ind, node:CLH:own:Tense=Past, node:CLH:own:VerbForm=Fin, node:CLH:own:Voice=Act, node:CLH:own:rel_shallow=root</t>
  </si>
  <si>
    <t>sent_id: 1800_1849_226_sec324 | rules: sentence:meta:period=1800_1849, node:X:own:Voice=Act, node:X:child:Case={'Nom'}, node:X:child:Definite={'Def', 'Ind'}, node:X:child:Gender={'Com', 'Neut'}, node:X:child:Number={'Sing'}, node:X:child:VerbForm={'Fin'}, node:CLH:own:VerbForm=Inf, node:CLH:own:Voice=Act, node:CLH:own:rel_shallow=root</t>
  </si>
  <si>
    <t>sent_id: 1800_1849_339_sec324 | rules: sentence:meta:period=1800_1849, node:X:own:Voice=Act, node:X:child:VerbForm={'Fin'}, node:X:child:Case={'Nom'}, node:X:child:Definite={'Def'}, node:X:child:Gender={'Com'}, node:X:child:Number={'Sing'}, node:X:child:PronType={'Prs'}, node:CLH:own:Case=Nom, node:CLH:own:Definite=Ind, node:CLH:own:Gender=Com, node:CLH:own:Number=Sing, node:CLH:own:rel_shallow=parataxis</t>
  </si>
  <si>
    <t>sent_id: 1800_1849_375_sec324 | rules: sentence:meta:period=1800_1849, node:X:own:Voice=Act, node:X:child:VerbForm={'Fin', 'Inf'}, node:X:child:Case={'Nom', 'Acc'}, node:X:child:Definite={'Def', 'Ind'}, node:X:child:Gender={'Com'}, node:X:child:Number={'Plur', 'Sing'}, node:X:child:PronType={'Prs'}, node:CLH:own:Mood=Ind, node:CLH:own:Tense=Pres, node:CLH:own:VerbForm=Fin, node:CLH:own:Voice=Act, node:CLH:own:rel_shallow=root</t>
  </si>
  <si>
    <t>sent_id: 1800_1849_20_sec494 | rules: sentence:meta:period=1800_1849, node:X:own:Voice=Act, node:X:child:VerbForm={'Fin', 'Inf'}, node:X:child:Case={'Nom', 'Acc'}, node:X:child:Definite={'Def'}, node:X:child:Number={'Plur', 'Sing'}, node:X:child:PronType={'Prs'}, node:X:child:Gender={'Com'}, node:CLH:own:Case=Nom, node:CLH:own:Definite=Ind, node:CLH:own:Gender=Com, node:CLH:own:Number=Sing, node:CLH:own:rel_shallow=obj</t>
  </si>
  <si>
    <t>sent_id: 1800_1849_120_sec494 | rules: sentence:meta:period=1800_1849, node:X:own:Voice=Act, node:X:child:Case={'Nom'}, node:X:child:Definite={'Def', 'Ind'}, node:X:child:Degree={'Pos'}, node:X:child:Number={'Plur', 'Sing'}, node:X:child:Gender={'Com'}, node:X:child:VerbForm={'Inf'}, node:X:child:PronType={'Prs'}, node:CLH:own:Case=Nom, node:CLH:own:Definite=Ind, node:CLH:own:Degree=Pos, node:CLH:own:Number=Plur, node:CLH:own:rel_shallow=root</t>
  </si>
  <si>
    <t>sent_id: 1800_1849_396_sec494 | rules: sentence:meta:period=1800_1849, node:X:own:Voice=Act, node:X:child:Case={'Nom'}, node:X:child:Definite={'Ind'}, node:X:child:Gender={'Neut'}, node:X:child:Number={'Plur'}, node:X:child:VerbForm={'Inf'}, node:CLH:own:Mood=Ind, node:CLH:own:Tense=Past, node:CLH:own:VerbForm=Fin, node:CLH:own:Voice=Act, node:CLH:own:rel_shallow=advcl</t>
  </si>
  <si>
    <t>sent_id: 1800_1849_448_sec494 | rules: sentence:meta:period=1800_1849, node:X:own:Voice=Act, node:X:child:Case={'Nom'}, node:X:child:Definite={'Def', 'Ind'}, node:X:child:Gender={'Com'}, node:X:child:Number={'Plur', 'Sing'}, node:X:child:VerbForm={'Inf'}, node:X:child:PronType={'Prs'}, node:CLH:own:VerbForm=Inf, node:CLH:own:Voice=Act, node:CLH:own:rel_shallow=root</t>
  </si>
  <si>
    <t>sent_id: 1800_1849_466_sec494 | rules: sentence:meta:period=1800_1849, node:X:own:Voice=Act, node:X:child:VerbForm={'Sup', 'Fin'}, node:X:child:Case={'Nom', 'Acc'}, node:X:child:Definite={'Def'}, node:X:child:Gender={'Com'}, node:X:child:Number={'Sing'}, node:X:child:PronType={'Prs'}, node:CLH:own:Mood=Ind, node:CLH:own:Tense=Past, node:CLH:own:VerbForm=Fin, node:CLH:own:Voice=Act, node:CLH:own:rel_shallow=root</t>
  </si>
  <si>
    <t>sent_id: 1800_1849_497_sec494 | rules: sentence:meta:period=1800_1849, node:X:own:Voice=Act, node:X:child:VerbForm={'Inf'}, node:X:child:Case={'Nom'}, node:X:child:Definite={'Ind'}, node:X:child:Gender={'Com'}, node:X:child:Number={'Sing'}, node:X:child:PronType={'Rel'}, node:CLH:own:Case=Nom, node:CLH:own:Definite=Ind, node:CLH:own:Gender=Com, node:CLH:own:Number=Sing, node:CLH:own:rel_shallow=root</t>
  </si>
  <si>
    <t>sent_id: 1800_1849_1052_sec494 | rules: sentence:meta:period=1800_1849, node:X:own:Voice=Act, node:X:child:Case={'Nom'}, node:X:child:Definite={'Ind'}, node:X:child:Gender={'Com'}, node:X:child:Number={'Plur'}, node:X:child:VerbForm={'Inf'}, node:CLH:own:Mood=Ind, node:CLH:own:Tense=Pres, node:CLH:own:VerbForm=Fin, node:CLH:own:Voice=Act, node:CLH:own:rel_shallow=acl:relcl</t>
  </si>
  <si>
    <t>sent_id: 1800_1849_1073_sec494 | rules: sentence:meta:period=1800_1849, node:X:own:Voice=Act, node:X:child:Case={'Nom'}, node:X:child:Definite={'Def', 'Ind'}, node:X:child:Gender={'Com'}, node:X:child:Number={'Sing'}, node:X:child:VerbForm={'Fin'}, node:X:child:PronType={'Prs'}, node:CLH:own:Case=Nom, node:CLH:own:Definite=Ind, node:CLH:own:Degree=Pos, node:CLH:own:Number=Plur, node:CLH:own:rel_shallow=conj</t>
  </si>
  <si>
    <t>sent_id: 1800_1849_1493_sec545 | rules: sentence:meta:period=1800_1849, node:X:own:Voice=Act, node:X:child:Case={'Nom'}, node:X:child:Definite={'Def', 'Ind'}, node:X:child:Gender={'Com'}, node:X:child:Number={'Plur', 'Sing'}, node:X:child:VerbForm={'Inf'}, node:X:child:PronType={'Prs'}, node:CLH:own:VerbForm=Inf, node:CLH:own:Voice=Act, node:CLH:own:rel_shallow=root</t>
  </si>
  <si>
    <t>sent_id: 1800_1849_44_sec987 | rules: sentence:meta:period=1800_1849, node:X:own:Voice=Act, node:X:child:Case={'Nom'}, node:X:child:Definite={'Def', 'Ind'}, node:X:child:Degree={'Pos'}, node:X:child:Gender={'Com'}, node:X:child:Number={'Sing'}, node:X:child:VerbForm={'Fin'}, node:X:child:PronType={'Prs'}, node:CLH:own:Mood=Ind, node:CLH:own:Tense=Pres, node:CLH:own:VerbForm=Fin, node:CLH:own:Voice=Act, node:CLH:own:rel_shallow=root</t>
  </si>
  <si>
    <t>sent_id: 1800_1849_73_sec987 | rules: sentence:meta:period=1800_1849, node:X:own:Voice=Act, node:X:child:VerbForm={'Sup', 'Fin'}, node:CLH:own:Mood=Ind, node:CLH:own:Tense=Pres, node:CLH:own:VerbForm=Fin, node:CLH:own:Voice=Act, node:CLH:own:rel_shallow=root</t>
  </si>
  <si>
    <t>sent_id: 1800_1849_103_sec988 | rules: sentence:meta:period=1800_1849, node:X:own:Voice=Act, node:X:child:Case={'Acc'}, node:X:child:Definite={'Def'}, node:X:child:Gender={'Com'}, node:X:child:Number={'Sing'}, node:X:child:PronType={'Prs'}, node:X:child:VerbForm={'Fin', 'Inf'}, node:CLH:own:Case=Nom, node:CLH:own:Definite=Ind, node:CLH:own:Degree=Pos, node:CLH:own:Gender=Com, node:CLH:own:Number=Sing, node:CLH:own:rel_shallow=advcl</t>
  </si>
  <si>
    <t>sent_id: 1800_1849_165_sec988 | rules: sentence:meta:period=1800_1849, node:X:own:Voice=Act, node:X:child:Case={'Nom'}, node:X:child:Definite={'Ind'}, node:X:child:Gender={'Neut'}, node:X:child:Number={'Sing'}, node:X:child:VerbForm={'Fin'}, node:CLH:own:Mood=Ind, node:CLH:own:Tense=Pres, node:CLH:own:VerbForm=Fin, node:CLH:own:Voice=Act, node:CLH:own:rel_shallow=root</t>
  </si>
  <si>
    <t>sent_id: 1800_1849_182_sec988 | rules: sentence:meta:period=1800_1849, node:X:own:Voice=Act, node:X:child:Case={'Nom'}, node:X:child:Definite={'Def', 'Ind'}, node:X:child:Gender={'Com', 'Neut'}, node:X:child:Number={'Sing'}, node:X:child:VerbForm={'Fin', 'Inf'}, node:X:child:PronType={'Prs'}, node:CLH:own:VerbForm=Inf, node:CLH:own:Voice=Act, node:CLH:own:rel_shallow=root</t>
  </si>
  <si>
    <t>sent_id: 1800_1849_259_sec988 | rules: sentence:meta:period=1800_1849, node:X:own:Voice=Act, node:X:child:VerbForm={'Fin'}, node:X:child:Case={'Nom'}, node:X:child:Definite={'Def'}, node:X:child:Gender={'Com'}, node:X:child:Number={'Sing'}, node:X:child:PronType={'Prs'}, node:CLH:own:Case=Nom, node:CLH:own:Definite=Ind, node:CLH:own:Gender=Com, node:CLH:own:Number=Sing, node:CLH:own:rel_shallow=parataxis</t>
  </si>
  <si>
    <t>sent_id: 1800_1849_470_sec988 | rules: sentence:meta:period=1800_1849, node:X:own:Voice=Act, node:X:child:Case={'Nom'}, node:X:child:Definite={'Def', 'Ind'}, node:X:child:Gender={'Com', 'Neut'}, node:X:child:Number={'Sing'}, node:X:child:VerbForm={'Fin'}, node:CLH:own:VerbForm=Inf, node:CLH:own:Voice=Act, node:CLH:own:rel_shallow=root</t>
  </si>
  <si>
    <t>sent_id: 1800_1849_495_sec988 | rules: sentence:meta:period=1800_1849, node:X:own:Voice=Act, node:X:child:VerbForm={'Fin', 'Inf'}, node:X:child:Case={'Nom', 'Acc'}, node:X:child:Definite={'Def', 'Ind'}, node:X:child:Gender={'Com'}, node:X:child:Number={'Plur', 'Sing'}, node:X:child:PronType={'Prs'}, node:CLH:own:VerbForm=Sup, node:CLH:own:Voice=Act, node:CLH:own:rel_shallow=root</t>
  </si>
  <si>
    <t>sent_id: 1800_1849_511_sec988 | rules: sentence:meta:period=1800_1849, node:X:own:Voice=Act, node:X:child:Case={'Nom'}, node:X:child:Definite={'Def'}, node:X:child:Degree={'Sup', 'Pos'}, node:X:child:VerbForm={'Inf'}, node:CLH:own:Case=Nom, node:CLH:own:Definite=Ind, node:CLH:own:Gender=Com, node:CLH:own:Number=Sing, node:CLH:own:rel_shallow=root</t>
  </si>
  <si>
    <t>sent_id: 1750_1799_127_letter141677 | rules: sentence:meta:period=1750_1799, node:X:own:Voice=Act, node:X:child:VerbForm={'Inf'}, node:X:child:Definite={'Def', 'Ind'}, node:X:child:Gender={'Com', 'Neut'}, node:X:child:Number={'Plur', 'Sing'}, node:X:child:PronType={'Prs'}, node:X:child:Case={'Nom'}, node:CLH:own:VerbForm=Inf, node:CLH:own:Voice=Act, node:CLH:own:rel_shallow=conj</t>
  </si>
  <si>
    <t>sent_id: 1750_1799_205_letter141677 | rules: sentence:meta:period=1750_1799, node:X:own:Voice=Act, node:X:child:VerbForm={'Fin', 'Inf'}, node:X:child:Case={'Nom'}, node:X:child:Definite={'Def', 'Ind'}, node:X:child:Gender={'Com'}, node:X:child:Number={'Sing'}, node:X:child:PronType={'Prs', 'Neg'}, node:X:child:Foreign={'Yes'}, node:CLH:own:VerbForm=Sup, node:CLH:own:Voice=Act, node:CLH:own:rel_shallow=ccomp</t>
  </si>
  <si>
    <t>sent_id: 1750_1799_308_letter141677 | rules: sentence:meta:period=1750_1799, node:X:own:Voice=Act, node:X:child:Case={'Nom'}, node:X:child:Definite={'Def', 'Ind'}, node:X:child:Gender={'Com', 'Neut'}, node:X:child:Number={'Plur', 'Sing'}, node:X:child:PronType={'Prs'}, node:X:child:VerbForm={'Fin'}, node:X:child:Degree={'Pos'}, node:CLH:own:VerbForm=Sup, node:CLH:own:Voice=Act, node:CLH:own:rel_shallow=acl:relcl</t>
  </si>
  <si>
    <t>sent_id: 1750_1799_455_letter141677 | rules: sentence:meta:period=1750_1799, node:X:own:Voice=Act, node:X:child:VerbForm={'Inf'}, node:X:child:Polarity={'Neg'}, node:X:child:Definite={'Def'}, node:X:child:Gender={'Neut'}, node:X:child:Number={'Sing'}, node:X:child:PronType={'Prs'}, node:CLH:own:Mood=Ind, node:CLH:own:Tense=Pres, node:CLH:own:VerbForm=Fin, node:CLH:own:Voice=Act, node:CLH:own:rel_shallow=advcl</t>
  </si>
  <si>
    <t>sent_id: 1750_1799_484_letter141677 | rules: sentence:meta:period=1750_1799, node:X:own:Voice=Act, node:X:child:VerbForm={'Sup'}, node:X:child:Degree={'Pos'}, node:X:child:Case={'Nom'}, node:X:child:Definite={'Def'}, node:X:child:Gender={'Com'}, node:X:child:Number={'Sing'}, node:X:child:PronType={'Prs'}, node:CLH:own:rel_shallow=advcl</t>
  </si>
  <si>
    <t>sent_id: 1750_1799_572_letter141677 | rules: sentence:meta:period=1750_1799, node:X:own:Voice=Act, node:X:child:Case={'Nom'}, node:X:child:Definite={'Ind'}, node:X:child:Degree={'Pos'}, node:X:child:Gender={'Com'}, node:X:child:Number={'Sing'}, node:X:child:VerbForm={'Fin'}, node:CLH:own:VerbForm=Inf, node:CLH:own:Voice=Act, node:CLH:own:rel_shallow=root</t>
  </si>
  <si>
    <t>sent_id: 1750_1799_674_letter141677 | rules: sentence:meta:period=1750_1799, node:X:own:Voice=Act, node:X:child:VerbForm={'Inf'}, node:X:child:Case={'Nom', 'Acc'}, node:X:child:Definite={'Def', 'Ind'}, node:X:child:Gender={'Com', 'Neut'}, node:X:child:Number={'Plur', 'Sing'}, node:X:child:PronType={'Prs'}, node:CLH:own:Case=Nom, node:CLH:own:Definite=Ind, node:CLH:own:Degree=Pos, node:CLH:own:Number=Plur, node:CLH:own:Tense=Past, node:CLH:own:VerbForm=Part, node:CLH:own:rel_shallow=conj</t>
  </si>
  <si>
    <t>sent_id: 1750_1799_703_letter141677 | rules: sentence:meta:period=1750_1799, node:X:own:Voice=Act, node:X:child:Case={'Nom'}, node:X:child:Definite={'Def', 'Ind'}, node:X:child:Gender={'Com'}, node:X:child:Number={'Plur', 'Sing'}, node:X:child:VerbForm={'Fin'}, node:X:child:Polarity={'Neg'}, node:X:child:PronType={'Prs'}, node:CLH:own:VerbForm=Sup, node:CLH:own:Voice=Act, node:CLH:own:rel_shallow=conj</t>
  </si>
  <si>
    <t>sent_id: 1750_1799_823_letter141677 | rules: sentence:meta:period=1750_1799, node:X:own:Voice=Act, node:X:child:Case={'Nom'}, node:X:child:Definite={'Def'}, node:X:child:Gender={'Com'}, node:X:child:Number={'Sing'}, node:X:child:PronType={'Prs'}, node:X:child:VerbForm={'Fin'}, node:X:child:Degree={'Sup'}, node:CLH:own:Mood=Ind, node:CLH:own:Tense=Pres, node:CLH:own:VerbForm=Fin, node:CLH:own:Voice=Pass, node:CLH:own:rel_shallow=root</t>
  </si>
  <si>
    <t>sent_id: 1750_1799_1107_letter141677 | rules: sentence:meta:period=1750_1799, node:X:own:Voice=Act, node:X:child:VerbForm={'Sup', 'Fin'}, node:X:child:Case={'Nom', 'Acc'}, node:X:child:Definite={'Def', 'Ind'}, node:X:child:Gender={'Com', 'Neut'}, node:X:child:Number={'Plur', 'Sing'}, node:X:child:PronType={'Prs'}, node:CLH:own:Case=Nom, node:CLH:own:Definite=Ind, node:CLH:own:Gender=Com, node:CLH:own:Number=Plur, node:CLH:own:rel_shallow=nmod</t>
  </si>
  <si>
    <t>sent_id: 1750_1799_1119_letter141677 | rules: sentence:meta:period=1750_1799, node:X:own:Voice=Act, node:X:child:Case={'Nom'}, node:X:child:Definite={'Def', 'Ind'}, node:X:child:Gender={'Com', 'Neut'}, node:X:child:Number={'Sing'}, node:X:child:Poss={'Yes'}, node:X:child:PronType={'Prs', 'Neg'}, node:X:child:VerbForm={'Fin'}, node:CLH:own:Mood=Ind, node:CLH:own:Tense=Past, node:CLH:own:VerbForm=Fin, node:CLH:own:Voice=Act, node:CLH:own:rel_shallow=root</t>
  </si>
  <si>
    <t>sent_id: 1750_1799_1160_letter141677 | rules: sentence:meta:period=1750_1799, node:X:own:Voice=Act, node:X:child:VerbForm={'Fin', 'Inf'}, node:X:child:Case={'Nom'}, node:X:child:Definite={'Def', 'Ind'}, node:X:child:Gender={'Com', 'Neut'}, node:X:child:Number={'Plur', 'Sing'}, node:X:child:PronType={'Prs'}, node:CLH:own:Mood=Ind, node:CLH:own:Tense=Pres, node:CLH:own:VerbForm=Fin, node:CLH:own:Voice=Pass, node:CLH:own:rel_shallow=root</t>
  </si>
  <si>
    <t>sent_id: 1750_1799_1408_letter141677 | rules: sentence:meta:period=1750_1799, node:X:own:Voice=Act, node:X:child:VerbForm={'Fin', 'Inf'}, node:X:child:Case={'Nom'}, node:X:child:NumType={'Card'}, node:X:child:Definite={'Def'}, node:X:child:Gender={'Com'}, node:X:child:Number={'Sing'}, node:X:child:PronType={'Prs'}, node:CLH:own:Case=Nom, node:CLH:own:Definite=Ind, node:CLH:own:Degree=Pos, node:CLH:own:Gender=Com, node:CLH:own:Number=Sing, node:CLH:own:Tense=Past, node:CLH:own:VerbForm=Part, node:CLH:own:rel_shallow=root</t>
  </si>
  <si>
    <t>sent_id: 1750_1799_1550_letter141677 | rules: sentence:meta:period=1750_1799, node:X:own:Voice=Act, node:X:child:Case={'Nom'}, node:X:child:Definite={'Ind'}, node:X:child:Degree={'Pos'}, node:X:child:Gender={'Com', 'Neut'}, node:X:child:Number={'Sing'}, node:X:child:VerbForm={'Sup', 'Part'}, node:CLH:own:VerbForm=Sup, node:CLH:own:Voice=Act, node:CLH:own:rel_shallow=advcl</t>
  </si>
  <si>
    <t>sent_id: 1750_1799_1566_letter141677 | rules: sentence:meta:period=1750_1799, node:X:own:Voice=Pass, node:X:child:VerbForm={'Fin', 'Inf'}, node:X:child:Case={'Nom'}, node:X:child:Definite={'Ind'}, node:X:child:Gender={'Com'}, node:X:child:Number={'Sing'}, node:CLH:own:VerbForm=Inf, node:CLH:own:Voice=Act, node:CLH:own:rel_shallow=conj</t>
  </si>
  <si>
    <t>sent_id: 1750_1799_1735_letter141677 | rules: sentence:meta:period=1750_1799, node:X:own:Voice=Act, node:X:child:Case={'Nom'}, node:X:child:Definite={'Def', 'Ind'}, node:X:child:Gender={'Com', 'Neut'}, node:X:child:Number={'Sing'}, node:X:child:VerbForm={'Fin'}, node:CLH:own:VerbForm=Inf, node:CLH:own:Voice=Act, node:CLH:own:rel_shallow=acl:relcl</t>
  </si>
  <si>
    <t>sent_id: 1750_1799_2098_letter141677 | rules: sentence:meta:period=1750_1799, node:X:own:Voice=Act, node:X:child:VerbForm={'Fin', 'Inf'}, node:X:child:Case={'Nom', 'Acc'}, node:X:child:Definite={'Def', 'Ind'}, node:X:child:Gender={'Com', 'Neut'}, node:X:child:Number={'Plur', 'Sing'}, node:X:child:PronType={'Prs'}, node:CLH:own:VerbForm=Inf, node:CLH:own:Voice=Act, node:CLH:own:rel_shallow=root</t>
  </si>
  <si>
    <t>sent_id: 1750_1799_2212_letter141677 | rules: sentence:meta:period=1750_1799, node:X:own:Voice=Act, node:X:child:VerbForm={'Fin'}, node:X:child:Case={'Nom'}, node:X:child:Definite={'Def'}, node:X:child:Gender={'Com', 'Neut'}, node:X:child:Number={'Sing'}, node:X:child:PronType={'Prs'}, node:X:child:Abbr={'Yes'}, node:CLH:own:Case=Nom, node:CLH:own:NumType=Card, node:CLH:own:rel_shallow=nummod</t>
  </si>
  <si>
    <t>sent_id: 1750_1799_2234_letter141677 | rules: sentence:meta:period=1750_1799, node:X:own:Voice=Pass, node:X:child:Abbr={'Yes'}, node:X:child:Case={'Nom'}, node:X:child:NumType={'Card'}, node:X:child:VerbForm={'Inf'}, node:X:child:Definite={'Def', 'Ind'}, node:X:child:Gender={'Com'}, node:X:child:Number={'Plur', 'Sing'}, node:X:child:PronType={'Prs'}, node:CLH:own:VerbForm=Inf, node:CLH:own:Voice=Pass, node:CLH:own:rel_shallow=conj</t>
  </si>
  <si>
    <t>sent_id: 1750_1799_2357_letter141677 | rules: sentence:meta:period=1750_1799, node:X:own:Voice=Act, node:X:child:VerbForm={'Fin', 'Inf'}, node:X:child:Case={'Nom'}, node:X:child:Definite={'Ind'}, node:X:child:Gender={'Com', 'Neut'}, node:X:child:Number={'Plur', 'Sing'}, node:CLH:own:VerbForm=Inf, node:CLH:own:Voice=Act, node:CLH:own:rel_shallow=root</t>
  </si>
  <si>
    <t>sent_id: 1750_1799_2361_letter141677 | rules: sentence:meta:period=1750_1799, node:X:own:Voice=Act, node:X:child:VerbForm={'Fin'}, node:X:child:Case={'Nom'}, node:X:child:Definite={'Ind'}, node:X:child:Gender={'Com', 'Neut'}, node:X:child:Number={'Sing'}, node:CLH:own:Case=Nom, node:CLH:own:Definite=Ind, node:CLH:own:Degree=Pos, node:CLH:own:Gender=Com, node:CLH:own:Number=Sing, node:CLH:own:rel_shallow=conj</t>
  </si>
  <si>
    <t>sent_id: 1750_1799_2601_letter141677 | rules: sentence:meta:period=1750_1799, node:X:own:Voice=Act, node:X:child:VerbForm={'Sup', 'Fin'}, node:X:child:Case={'Nom', 'Acc'}, node:X:child:Definite={'Def', 'Ind'}, node:X:child:Degree={'Pos'}, node:X:child:Gender={'Com', 'Neut'}, node:X:child:Number={'Plur', 'Sing'}, node:X:child:PronType={'Prs', 'Rel'}, node:CLH:own:VerbForm=Sup, node:CLH:own:Voice=Act, node:CLH:own:rel_shallow=root</t>
  </si>
  <si>
    <t>sent_id: 1750_1799_2704_letter141677 | rules: sentence:meta:period=1750_1799, node:X:own:Voice=Pass, node:X:child:Case={'Nom'}, node:X:child:Definite={'Ind'}, node:X:child:Degree={'Pos'}, node:X:child:Gender={'Com', 'Neut'}, node:X:child:Number={'Sing'}, node:X:child:VerbForm={'Part', 'Fin'}, node:CLH:own:Mood=Ind, node:CLH:own:Tense=Pres, node:CLH:own:VerbForm=Fin, node:CLH:own:Voice=Act, node:CLH:own:rel_shallow=root</t>
  </si>
  <si>
    <t>sent_id: 1750_1799_2707_letter141677 | rules: sentence:meta:period=1750_1799, node:X:own:Voice=Pass, node:X:child:Case={'Nom'}, node:X:child:Definite={'Def'}, node:X:child:Gender={'Com', 'Neut'}, node:X:child:Number={'Plur', 'Sing'}, node:X:child:VerbForm={'Sup'}, node:CLH:own:VerbForm=Inf, node:CLH:own:Voice=Act, node:CLH:own:rel_shallow=ccomp</t>
  </si>
  <si>
    <t>sent_id: 1750_1799_2722_letter141677 | rules: sentence:meta:period=1750_1799, node:X:own:Voice=Act, node:X:child:VerbForm={'Fin', 'Inf'}, node:X:child:Case={'Nom', 'Acc'}, node:X:child:Definite={'Def', 'Ind'}, node:X:child:PronType={'Prs', 'Art'}, node:X:child:Gender={'Com', 'Neut'}, node:X:child:Number={'Sing'}, node:X:child:NumType={'Card'}, node:CLH:own:VerbForm=Sup, node:CLH:own:Voice=Act, node:CLH:own:rel_shallow=ccomp</t>
  </si>
  <si>
    <t>sent_id: 1750_1799_2845_letter141677 | rules: sentence:meta:period=1750_1799, node:X:own:Voice=Act, node:X:child:Case={'Nom'}, node:X:child:Definite={'Ind'}, node:X:child:Gender={'Com'}, node:X:child:Number={'Plur'}, node:X:child:VerbForm={'Fin'}, node:CLH:own:Mood=Ind, node:CLH:own:Tense=Past, node:CLH:own:VerbForm=Fin, node:CLH:own:Voice=Pass, node:CLH:own:rel_shallow=root</t>
  </si>
  <si>
    <t>sent_id: 1750_1799_2869_letter141677 | rules: sentence:meta:period=1750_1799, node:X:own:Voice=Act, node:X:child:VerbForm={'Sup', 'Fin'}, node:X:child:Case={'Nom'}, node:X:child:Definite={'Def'}, node:X:child:Gender={'Com'}, node:X:child:Number={'Sing'}, node:CLH:own:VerbForm=Inf, node:CLH:own:Voice=Act, node:CLH:own:rel_shallow=ccomp</t>
  </si>
  <si>
    <t>sent_id: 1750_1799_2893_letter141677 | rules: sentence:meta:period=1750_1799, node:X:own:Voice=Act, node:X:child:VerbForm={'Fin', 'Inf'}, node:X:child:Case={'Nom'}, node:X:child:Definite={'Def'}, node:X:child:Gender={'Com'}, node:X:child:Number={'Sing'}, node:X:child:Degree={'Cmp'}, node:CLH:own:Mood=Ind, node:CLH:own:Tense=Pres, node:CLH:own:VerbForm=Fin, node:CLH:own:Voice=Act, node:CLH:own:rel_shallow=advcl</t>
  </si>
  <si>
    <t>sent_id: 1750_1799_2901_letter141677 | rules: sentence:meta:period=1750_1799, node:X:own:Voice=Act, node:X:child:VerbForm={'Sup', 'Fin'}, node:X:child:Case={'Nom'}, node:X:child:Definite={'Def', 'Ind'}, node:X:child:Gender={'Com'}, node:X:child:Number={'Sing'}, node:CLH:own:Mood=Ind, node:CLH:own:Tense=Pres, node:CLH:own:VerbForm=Fin, node:CLH:own:Voice=Act, node:CLH:own:rel_shallow=conj</t>
  </si>
  <si>
    <t>sent_id: 1750_1799_2977_letter141677 | rules: sentence:meta:period=1750_1799, node:X:own:Voice=Act, node:X:child:VerbForm={'Fin', 'Inf'}, node:X:child:Case={'Nom', 'Acc'}, node:X:child:Definite={'Def'}, node:X:child:Gender={'Com'}, node:X:child:Number={'Sing'}, node:X:child:PronType={'Prs'}, node:X:child:NumType={'Card'}, node:CLH:own:Mood=Ind, node:CLH:own:Tense=Pres, node:CLH:own:VerbForm=Fin, node:CLH:own:Voice=Act, node:CLH:own:rel_shallow=root</t>
  </si>
  <si>
    <t>sent_id: 1750_1799_3037_letter141677 | rules: sentence:meta:period=1750_1799, node:X:own:Voice=Act, node:X:child:VerbForm={'Sup', 'Inf'}, node:X:child:Case={'Gen'}, node:X:child:Definite={'Ind'}, node:X:child:Gender={'Neut'}, node:X:child:Number={'Plur', 'Sing'}, node:X:child:PronType={'Tot'}, node:CLH:own:Case=Nom, node:CLH:own:Definite=Ind, node:CLH:own:Gender=Com, node:CLH:own:Number=Sing, node:CLH:own:rel_shallow=conj</t>
  </si>
  <si>
    <t>sent_id: 1750_1799_3079_letter141677 | rules: sentence:meta:period=1750_1799, node:X:own:Voice=Act, node:X:child:Case={'Nom'}, node:X:child:Definite={'Def', 'Ind'}, node:X:child:Gender={'Com'}, node:X:child:Number={'Sing'}, node:X:child:VerbForm={'Sup'}, node:X:child:PronType={'Prs'}, node:CLH:own:VerbForm=Inf, node:CLH:own:Voice=Act, node:CLH:own:rel_shallow=advcl</t>
  </si>
  <si>
    <t>sent_id: 1750_1799_3083_letter141677 | rules: sentence:meta:period=1750_1799, node:X:own:Voice=Act, node:X:child:Case={'Nom', 'Acc'}, node:X:child:Definite={'Def', 'Ind'}, node:X:child:Gender={'Com'}, node:X:child:Number={'Plur', 'Sing'}, node:X:child:PronType={'Prs'}, node:X:child:Polarity={'Neg'}, node:X:child:VerbForm={'Fin'}, node:CLH:own:Case=Nom, node:CLH:own:Definite=Ind, node:CLH:own:Gender=Com, node:CLH:own:Number=Sing, node:CLH:own:rel_shallow=root</t>
  </si>
  <si>
    <t>sent_id: 1750_1799_3185_letter141677 | rules: sentence:meta:period=1750_1799, node:X:own:Voice=Act, node:X:child:VerbForm={'Fin'}, node:X:child:Gender={'Com', 'Neut'}, node:X:child:Case={'Nom'}, node:X:child:Definite={'Ind'}, node:X:child:Number={'Sing'}, node:X:child:Foreign={'Yes'}, node:CLH:own:Mood=Ind, node:CLH:own:Tense=Pres, node:CLH:own:VerbForm=Fin, node:CLH:own:Voice=Act, node:CLH:own:rel_shallow=root</t>
  </si>
  <si>
    <t>sent_id: 1750_1799_3219_letter141677 | rules: sentence:meta:period=1750_1799, node:X:own:Voice=Act, node:X:child:Case={'Nom'}, node:X:child:Definite={'Ind'}, node:X:child:Gender={'Com', 'Neut'}, node:X:child:Number={'Sing'}, node:X:child:VerbForm={'Fin'}, node:CLH:own:VerbForm=Inf, node:CLH:own:Voice=Act, node:CLH:own:rel_shallow=root</t>
  </si>
  <si>
    <t>sent_id: 1750_1799_3239_letter141677 | rules: sentence:meta:period=1750_1799, node:X:own:Voice=Act, node:X:child:VerbForm={'Fin'}, node:X:child:Case={'Nom'}, node:X:child:Definite={'Def'}, node:X:child:Gender={'Com'}, node:X:child:Number={'Sing'}, node:X:child:PronType={'Prs'}, node:CLH:own:VerbForm=Inf, node:CLH:own:Voice=Act, node:CLH:own:rel_shallow=conj</t>
  </si>
  <si>
    <t>sent_id: 1750_1799_3281_letter141677 | rules: sentence:meta:period=1750_1799, node:X:own:Voice=Act, node:X:child:VerbForm={'Fin', 'Inf'}, node:X:child:Degree={'Pos'}, node:X:child:Case={'Nom'}, node:X:child:Definite={'Def', 'Ind'}, node:X:child:Gender={'Com'}, node:X:child:Number={'Sing'}, node:X:child:PronType={'Prs'}, node:X:child:Foreign={'Yes'}, node:CLH:own:Case=Nom, node:CLH:own:Definite=Ind, node:CLH:own:Gender=Com, node:CLH:own:Number=Sing, node:CLH:own:rel_shallow=root</t>
  </si>
  <si>
    <t>sent_id: 1750_1799_3348_letter141677 | rules: sentence:meta:period=1750_1799, node:X:own:Voice=Act, node:X:child:VerbForm={'Fin', 'Inf'}, node:X:child:Case={'Nom'}, node:X:child:Definite={'Ind'}, node:X:child:Gender={'Com'}, node:X:child:Number={'Sing'}, node:CLH:own:Mood=Ind, node:CLH:own:Tense=Pres, node:CLH:own:VerbForm=Fin, node:CLH:own:Voice=Act, node:CLH:own:rel_shallow=conj</t>
  </si>
  <si>
    <t>sent_id: 1750_1799_3583_letter141677 | rules: sentence:meta:period=1750_1799, node:X:own:Voice=Act, node:X:child:Case={'Nom'}, node:X:child:Definite={'Def', 'Ind'}, node:X:child:Gender={'Com'}, node:X:child:Number={'Sing'}, node:X:child:VerbForm={'Fin'}, node:CLH:own:Mood=Ind, node:CLH:own:Tense=Pres, node:CLH:own:VerbForm=Fin, node:CLH:own:Voice=Act, node:CLH:own:rel_shallow=root</t>
  </si>
  <si>
    <t>sent_id: 1750_1799_4369_letter141677 | rules: sentence:meta:period=1750_1799, node:X:own:Voice=Act, node:X:child:VerbForm={'Fin', 'Inf'}, node:X:child:Definite={'Ind'}, node:X:child:Gender={'Com'}, node:X:child:Number={'Sing'}, node:X:child:PronType={'Ind'}, node:CLH:own:VerbForm=Inf, node:CLH:own:Voice=Pass, node:CLH:own:rel_shallow=ccomp</t>
  </si>
  <si>
    <t>sent_id: 1750_1799_4444_letter141677 | rules: sentence:meta:period=1750_1799, node:X:own:Voice=Act, node:X:child:VerbForm={'Fin', 'Inf'}, node:X:child:Case={'Nom'}, node:X:child:Definite={'Def', 'Ind'}, node:X:child:Gender={'Com', 'Neut'}, node:X:child:Number={'Sing'}, node:CLH:own:Mood=Ind, node:CLH:own:Tense=Pres, node:CLH:own:VerbForm=Fin, node:CLH:own:Voice=Act, node:CLH:own:rel_shallow=root</t>
  </si>
  <si>
    <t>sent_id: 1750_1799_4724_letter141677 | rules: sentence:meta:period=1750_1799, node:X:own:Voice=Act, node:X:child:VerbForm={'Fin'}, node:X:child:Case={'Nom'}, node:X:child:Definite={'Ind'}, node:X:child:Gender={'Neut'}, node:X:child:Number={'Sing'}, node:X:child:PronType={'Prs'}, node:CLH:own:VerbForm=Inf, node:CLH:own:Voice=Act, node:CLH:own:rel_shallow=root</t>
  </si>
  <si>
    <t>sent_id: 1750_1799_4845_letter141677 | rules: sentence:meta:period=1750_1799, node:X:own:Voice=Act, node:X:child:Abbr={'Yes'}, node:X:child:Case={'Nom'}, node:X:child:Definite={'Def'}, node:X:child:Gender={'Com'}, node:X:child:Number={'Sing'}, node:X:child:VerbForm={'Inf'}, node:CLH:own:Case=Nom, node:CLH:own:Definite=Def, node:CLH:own:Degree=Pos, node:CLH:own:Gender=Com, node:CLH:own:Number=Sing, node:CLH:own:rel_shallow=acl</t>
  </si>
  <si>
    <t>sent_id: 1750_1799_5038_letter141677 | rules: sentence:meta:period=1750_1799, node:X:own:Voice=Act, node:X:child:Case={'Nom'}, node:X:child:Definite={'Def', 'Ind'}, node:X:child:Degree={'Pos'}, node:X:child:Gender={'Com', 'Neut'}, node:X:child:Number={'Sing'}, node:X:child:PronType={'Prs'}, node:X:child:VerbForm={'Fin'}, node:CLH:own:Mood=Ind, node:CLH:own:Tense=Pres, node:CLH:own:VerbForm=Fin, node:CLH:own:Voice=Pass, node:CLH:own:rel_shallow=root</t>
  </si>
  <si>
    <t>sent_id: 1750_1799_5053_letter141677 | rules: sentence:meta:period=1750_1799, node:X:own:Voice=Act, node:X:child:Case={'Nom'}, node:X:child:Definite={'Ind'}, node:X:child:Gender={'Com'}, node:X:child:Number={'Plur'}, node:X:child:VerbForm={'Inf'}, node:CLH:own:Mood=Ind, node:CLH:own:Tense=Pres, node:CLH:own:VerbForm=Fin, node:CLH:own:rel_shallow=root</t>
  </si>
  <si>
    <t>sent_id: 1750_1799_981_sec268 | rules: sentence:meta:period=1750_1799, node:X:own:Voice=Act, node:X:child:VerbForm={'Fin'}, node:X:child:Case={'Nom'}, node:X:child:Definite={'Ind'}, node:X:child:Gender={'Neut'}, node:X:child:Number={'Sing'}, node:X:child:PronType={'Int'}, node:CLH:own:rel_shallow=advmod</t>
  </si>
  <si>
    <t>sent_id: 1750_1799_1122_sec268 | rules: sentence:meta:period=1750_1799, node:X:own:Voice=Act, node:X:child:Case={'Nom'}, node:X:child:Definite={'Ind'}, node:X:child:Gender={'Com'}, node:X:child:Number={'Sing'}, node:X:child:VerbForm={'Fin'}, node:CLH:own:Mood=Ind, node:CLH:own:Tense=Pres, node:CLH:own:VerbForm=Fin, node:CLH:own:Voice=Act, node:CLH:own:rel_shallow=root</t>
  </si>
  <si>
    <t>sent_id: 1750_1799_1380_sec268 | rules: sentence:meta:period=1750_1799, node:X:own:Voice=Act, node:X:child:VerbForm={'Fin'}, node:X:child:Case={'Nom', 'Acc'}, node:X:child:Definite={'Def', 'Ind'}, node:X:child:Gender={'Com', 'Neut'}, node:X:child:Number={'Sing'}, node:X:child:PronType={'Prs', 'Int'}, node:X:child:Degree={'Pos'}, node:CLH:own:VerbForm=Inf, node:CLH:own:Voice=Act, node:CLH:own:rel_shallow=root</t>
  </si>
  <si>
    <t>sent_id: 1750_1799_174_sec277 | rules: sentence:meta:period=1750_1799, node:X:own:Voice=Act, node:X:child:Case={'Nom'}, node:X:child:Definite={'Def', 'Ind'}, node:X:child:Degree={'Pos'}, node:X:child:Gender={'Com'}, node:X:child:Number={'Plur', 'Sing'}, node:X:child:VerbForm={'Part', 'Fin'}, node:X:child:PronType={'Prs', 'Dem'}, node:CLH:own:VerbForm=Inf, node:CLH:own:Voice=Act, node:CLH:own:rel_shallow=acl</t>
  </si>
  <si>
    <t>sent_id: 1750_1799_9_sec839 | rules: sentence:meta:period=1750_1799, node:X:own:Voice=Act, node:X:child:Case={'Nom', 'Acc'}, node:X:child:Definite={'Def', 'Ind'}, node:X:child:Gender={'Com'}, node:X:child:Number={'Sing'}, node:X:child:PronType={'Prs'}, node:X:child:VerbForm={'Fin'}, node:CLH:own:VerbForm=Inf, node:CLH:own:Voice=Act, node:CLH:own:rel_shallow=conj</t>
  </si>
  <si>
    <t>sent_id: 1750_1799_210_sec839 | rules: sentence:meta:period=1750_1799, node:X:own:Voice=Act, node:X:child:VerbForm={'Sup', 'Fin'}, node:X:child:Case={'Nom'}, node:X:child:Degree={'Pos'}, node:CLH:own:VerbForm=Sup, node:CLH:own:Voice=Act, node:CLH:own:rel_shallow=root</t>
  </si>
  <si>
    <t>sent_id: 1750_1799_299_sec839 | rules: sentence:meta:period=1750_1799, node:X:own:Voice=Act, node:X:child:VerbForm={'Fin'}, node:X:child:Definite={'Def'}, node:X:child:Gender={'Neut'}, node:X:child:Number={'Sing'}, node:X:child:PronType={'Prs'}, node:CLH:own:Mood=Ind, node:CLH:own:Tense=Pres, node:CLH:own:VerbForm=Fin, node:CLH:own:Voice=Act, node:CLH:own:rel_shallow=root</t>
  </si>
  <si>
    <t>sent_id: 1750_1799_314_sec839 | rules: sentence:meta:period=1750_1799, node:X:own:Voice=Act, node:X:child:VerbForm={'Fin'}, node:X:child:Case={'Acc'}, node:X:child:Definite={'Def'}, node:X:child:PronType={'Prs'}, node:X:child:Gender={'Neut'}, node:X:child:Number={'Sing'}, node:CLH:own:Case=Nom, node:CLH:own:rel_shallow=root</t>
  </si>
  <si>
    <t>sent_id: 1750_1799_545_sec839 | rules: sentence:meta:period=1750_1799, node:X:own:Voice=Act, node:X:child:VerbForm={'Fin', 'Inf'}, node:X:child:Case={'Nom'}, node:X:child:Definite={'Def'}, node:X:child:Gender={'Com'}, node:X:child:Number={'Sing'}, node:X:child:PronType={'Prs'}, node:CLH:own:VerbForm=Inf, node:CLH:own:Voice=Act, node:CLH:own:rel_shallow=root</t>
  </si>
  <si>
    <t>sent_id: 1750_1799_946_sec839 | rules: sentence:meta:period=1750_1799, node:X:own:Voice=Act, node:X:child:VerbForm={'Inf'}, node:X:child:Case={'Nom'}, node:X:child:Definite={'Def'}, node:X:child:Gender={'Com'}, node:X:child:Number={'Sing'}, node:X:child:PronType={'Prs'}, node:CLH:own:Mood=Ind, node:CLH:own:Tense=Past, node:CLH:own:VerbForm=Fin, node:CLH:own:Voice=Act, node:CLH:own:rel_shallow=root</t>
  </si>
  <si>
    <t>sent_id: 1750_1799_1076_sec839 | rules: sentence:meta:period=1750_1799, node:X:own:Voice=Act, node:X:child:VerbForm={'Fin'}, node:X:child:Degree={'Pos'}, node:X:child:Case={'Nom'}, node:X:child:Definite={'Def'}, node:X:child:Gender={'Com'}, node:X:child:Number={'Sing'}, node:X:child:PronType={'Prs'}, node:CLH:own:Mood=Ind, node:CLH:own:Tense=Past, node:CLH:own:VerbForm=Fin, node:CLH:own:Voice=Act, node:CLH:own:rel_shallow=parataxis</t>
  </si>
  <si>
    <t>sent_id: 1750_1799_1250_sec839 | rules: sentence:meta:period=1750_1799, node:X:own:Voice=Act, node:X:child:VerbForm={'Fin'}, node:X:child:Case={'Nom'}, node:X:child:Definite={'Def', 'Ind'}, node:X:child:Gender={'Com'}, node:X:child:Number={'Sing'}, node:X:child:PronType={'Prs'}, node:CLH:own:Mood=Imp, node:CLH:own:VerbForm=Fin, node:CLH:own:Voice=Act, node:CLH:own:rel_shallow=conj</t>
  </si>
  <si>
    <t>sent_id: 1700_1749_53_sec330 | rules: sentence:meta:period=1700_1749, node:X:own:Voice=Act, node:X:child:VerbForm={'Fin'}, node:X:child:Case={'Nom'}, node:X:child:Definite={'Def'}, node:X:child:Gender={'Com'}, node:X:child:Number={'Sing'}, node:X:child:PronType={'Prs'}, node:CLH:own:Degree=Cmp, node:CLH:own:rel_shallow=advmod</t>
  </si>
  <si>
    <t>sent_id: 1700_1749_65_sec330 | rules: sentence:meta:period=1700_1749, node:X:own:Voice=Act, node:X:child:Case={'Nom', 'Acc'}, node:X:child:Definite={'Def'}, node:X:child:Gender={'Com'}, node:X:child:Number={'Sing'}, node:X:child:PronType={'Prs'}, node:X:child:VerbForm={'Fin'}, node:CLH:own:VerbForm=Inf, node:CLH:own:Voice=Act, node:CLH:own:rel_shallow=root</t>
  </si>
  <si>
    <t>sent_id: 1700_1749_81_sec330 | rules: sentence:meta:period=1700_1749, node:X:own:Voice=Act, node:X:child:Case={'Nom'}, node:X:child:Definite={'Def', 'Ind'}, node:X:child:Gender={'Com'}, node:X:child:Number={'Sing'}, node:X:child:PronType={'Prs'}, node:X:child:Degree={'Cmp'}, node:X:child:VerbForm={'Fin'}, node:CLH:own:VerbForm=Inf, node:CLH:own:Voice=Act, node:CLH:own:rel_shallow=root</t>
  </si>
  <si>
    <t>sent_id: 1700_1749_89_sec330 | rules: sentence:meta:period=1700_1749, node:X:own:Voice=Act, node:X:child:VerbForm={'Inf'}, node:X:child:Case={'Acc'}, node:X:child:Definite={'Def'}, node:X:child:PronType={'Prs'}, node:CLH:own:VerbForm=Sup, node:CLH:own:Voice=Act, node:CLH:own:rel_shallow=acl</t>
  </si>
  <si>
    <t>sent_id: 1700_1749_175_sec330 | rules: sentence:meta:period=1700_1749, node:X:own:Voice=Act, node:X:child:VerbForm={'Fin', 'Inf'}, node:X:child:Case={'Nom', 'Acc'}, node:X:child:Definite={'Def', 'Ind'}, node:X:child:Gender={'Com'}, node:X:child:Number={'Plur', 'Sing'}, node:X:child:PronType={'Prs', 'Rel'}, node:CLH:own:Case=Nom, node:CLH:own:Definite=Ind, node:CLH:own:Degree=Pos, node:CLH:own:Gender=Com, node:CLH:own:Number=Sing, node:CLH:own:rel_shallow=conj</t>
  </si>
  <si>
    <t>sent_id: 1700_1749_798_sec330 | rules: sentence:meta:period=1700_1749, node:X:own:Voice=Act, node:X:child:VerbForm={'Sup', 'Fin'}, node:X:child:Case={'Nom'}, node:X:child:Definite={'Def'}, node:X:child:Gender={'Com'}, node:X:child:Number={'Sing'}, node:X:child:PronType={'Prs'}, node:CLH:own:Mood=Ind, node:CLH:own:Tense=Pres, node:CLH:own:VerbForm=Fin, node:CLH:own:Voice=Act, node:CLH:own:rel_shallow=dislocated</t>
  </si>
  <si>
    <t>sent_id: 1700_1749_999_sec330 | rules: sentence:meta:period=1700_1749, node:X:own:Voice=Act, node:X:child:Case={'Nom'}, node:X:child:Definite={'Def', 'Ind'}, node:X:child:Gender={'Com', 'Neut'}, node:X:child:Number={'Sing'}, node:X:child:VerbForm={'Fin'}, node:X:child:PronType={'Prs'}, node:CLH:own:VerbForm=Inf, node:CLH:own:Voice=Act, node:CLH:own:rel_shallow=root</t>
  </si>
  <si>
    <t>sent_id: 1700_1749_1014_sec330 | rules: sentence:meta:period=1700_1749, node:X:own:Voice=Act, node:X:child:Case={'Nom', 'Acc'}, node:X:child:Definite={'Def', 'Ind'}, node:X:child:Gender={'Com'}, node:X:child:Number={'Sing'}, node:X:child:PronType={'Prs'}, node:X:child:VerbForm={'Fin'}, node:CLH:own:Mood=Imp, node:CLH:own:VerbForm=Fin, node:CLH:own:Voice=Act, node:CLH:own:rel_shallow=conj</t>
  </si>
  <si>
    <t>sent_id: 1700_1749_1050_sec330 | rules: sentence:meta:period=1700_1749, node:X:own:Voice=Act, node:X:child:VerbForm={'Fin'}, node:X:child:Case={'Nom'}, node:X:child:Definite={'Def'}, node:X:child:Gender={'Com'}, node:X:child:Number={'Sing'}, node:X:child:PronType={'Prs'}, node:CLH:own:VerbForm=Inf, node:CLH:own:Voice=Act, node:CLH:own:rel_shallow=root</t>
  </si>
  <si>
    <t>sent_id: 1700_1749_1069_sec330 | rules: sentence:meta:period=1700_1749, node:X:own:Voice=Act, node:X:child:VerbForm={'Fin'}, node:X:child:Case={'Nom'}, node:X:child:Definite={'Def'}, node:X:child:Gender={'Com'}, node:X:child:Number={'Sing'}, node:X:child:PronType={'Prs'}, node:CLH:own:Mood=Ind, node:CLH:own:Tense=Pres, node:CLH:own:VerbForm=Fin, node:CLH:own:Voice=Act, node:CLH:own:rel_shallow=root</t>
  </si>
  <si>
    <t>sent_id: 1700_1749_1069_sec330 | rules: sentence:meta:period=1700_1749, node:X:own:Voice=Act, node:X:child:Case={'Nom'}, node:X:child:Definite={'Def', 'Ind'}, node:X:child:Degree={'Pos'}, node:X:child:Gender={'Com'}, node:X:child:Number={'Sing'}, node:X:child:PronType={'Prs'}, node:X:child:VerbForm={'Inf'}, node:CLH:own:VerbForm=Sup, node:CLH:own:Voice=Act, node:CLH:own:rel_shallow=parataxis</t>
  </si>
  <si>
    <t>sent_id: 1700_1749_1175_sec330 | rules: sentence:meta:period=1700_1749, node:X:own:Voice=Act, node:X:child:Case={'Acc'}, node:X:child:Definite={'Def', 'Ind'}, node:X:child:Gender={'Com', 'Neut'}, node:X:child:Number={'Sing'}, node:X:child:PronType={'Prs', 'Ind'}, node:X:child:VerbForm={'Fin'}, node:CLH:own:VerbForm=Inf, node:CLH:own:Voice=Pass, node:CLH:own:rel_shallow=root</t>
  </si>
  <si>
    <t>sent_id: 1700_1749_1236_sec330 | rules: sentence:meta:period=1700_1749, node:X:own:Voice=Act, node:X:child:Case={'Nom'}, node:X:child:Degree={'Pos'}, node:X:child:Definite={'Def', 'Ind'}, node:X:child:Gender={'Com'}, node:X:child:Number={'Sing'}, node:X:child:VerbForm={'Fin'}, node:X:child:PronType={'Prs'}, node:CLH:own:Mood=Ind, node:CLH:own:Tense=Pres, node:CLH:own:VerbForm=Fin, node:CLH:own:Voice=Act, node:CLH:own:rel_shallow=root</t>
  </si>
  <si>
    <t>sent_id: 1700_1749_1302_sec330 | rules: sentence:meta:period=1700_1749, node:X:own:Voice=Act, node:X:child:Definite={'Def', 'Ind'}, node:X:child:Gender={'Com', 'Neut'}, node:X:child:Number={'Sing'}, node:X:child:PronType={'Prs'}, node:X:child:VerbForm={'Fin', 'Inf'}, node:X:child:Case={'Acc'}, node:CLH:own:Degree=Pos, node:CLH:own:rel_shallow=advmod</t>
  </si>
  <si>
    <t>sent_id: 1700_1749_1303_sec330 | rules: sentence:meta:period=1700_1749, node:X:own:Voice=Act, node:X:child:VerbForm={'Fin', 'Inf'}, node:X:child:Case={'Nom', 'Acc'}, node:X:child:Definite={'Def', 'Ind'}, node:X:child:Gender={'Com', 'Neut'}, node:X:child:Number={'Sing'}, node:X:child:PronType={'Prs'}, node:X:child:Degree={'Pos'}, node:CLH:own:Mood=Ind, node:CLH:own:Tense=Past, node:CLH:own:VerbForm=Fin, node:CLH:own:Voice=Act, node:CLH:own:rel_shallow=conj</t>
  </si>
  <si>
    <t>sent_id: 1700_1749_1303_sec330 | rules: sentence:meta:period=1700_1749, node:X:own:Voice=Act, node:X:child:VerbForm={'Fin', 'Inf'}, node:X:child:Case={'Nom'}, node:X:child:Definite={'Def', 'Ind'}, node:X:child:Gender={'Com', 'Neut'}, node:X:child:Number={'Sing'}, node:X:child:PronType={'Prs'}, node:CLH:own:VerbForm=Inf, node:CLH:own:Voice=Act, node:CLH:own:rel_shallow=conj</t>
  </si>
  <si>
    <t>sent_id: 1700_1749_1338_sec330 | rules: sentence:meta:period=1700_1749, node:X:own:Voice=Act, node:X:child:Definite={'Def', 'Ind'}, node:X:child:Gender={'Com', 'Neut'}, node:X:child:Number={'Sing'}, node:X:child:PronType={'Prs'}, node:X:child:Case={'Nom', 'Acc'}, node:X:child:VerbForm={'Fin'}, node:CLH:own:VerbForm=Inf, node:CLH:own:Voice=Act, node:CLH:own:rel_shallow=acl:relcl</t>
  </si>
  <si>
    <t>sent_id: 1700_1749_1379_sec330 | rules: sentence:meta:period=1700_1749, node:X:own:Voice=Act, node:X:child:VerbForm={'Inf'}, node:CLH:own:Mood=Ind, node:CLH:own:Tense=Pres, node:CLH:own:VerbForm=Fin, node:CLH:own:Voice=Pass, node:CLH:own:rel_shallow=acl:cleft</t>
  </si>
  <si>
    <t>sent_id: 1700_1749_1380_sec330 | rules: sentence:meta:period=1700_1749, node:X:own:Voice=Act, node:X:child:Case={'Nom'}, node:X:child:Definite={'Ind'}, node:X:child:Degree={'Pos'}, node:X:child:Gender={'Neut'}, node:X:child:Number={'Sing'}, node:X:child:VerbForm={'Fin'}, node:CLH:own:Case=Nom, node:CLH:own:Definite=Ind, node:CLH:own:Degree=Pos, node:CLH:own:Gender=Neut, node:CLH:own:Number=Sing, node:CLH:own:rel_shallow=conj</t>
  </si>
  <si>
    <t>sent_id: 1700_1749_1382_sec330 | rules: sentence:meta:period=1700_1749, node:X:own:Voice=Act, node:X:child:VerbForm={'Fin', 'Inf'}, node:X:child:Case={'Nom'}, node:X:child:Definite={'Def'}, node:X:child:Gender={'Com'}, node:X:child:Number={'Sing'}, node:X:child:PronType={'Prs'}, node:CLH:own:Mood=Imp, node:CLH:own:VerbForm=Fin, node:CLH:own:Voice=Act, node:CLH:own:rel_shallow=root</t>
  </si>
  <si>
    <t>sent_id: 1700_1749_1427_sec330 | rules: sentence:meta:period=1700_1749, node:X:own:Voice=Act, node:X:child:Case={'Nom'}, node:X:child:Definite={'Ind'}, node:X:child:Degree={'Pos'}, node:X:child:Gender={'Com', 'Neut'}, node:X:child:Number={'Sing'}, node:X:child:VerbForm={'Inf'}, node:CLH:own:Mood=Ind, node:CLH:own:Tense=Pres, node:CLH:own:VerbForm=Fin, node:CLH:own:Voice=Act, node:CLH:own:rel_shallow=acl:relcl</t>
  </si>
  <si>
    <t>sent_id: 1700_1749_1479_sec330 | rules: sentence:meta:period=1700_1749, node:X:own:Voice=Act, node:X:child:Case={'Nom', 'Acc'}, node:X:child:Definite={'Def'}, node:X:child:Gender={'Com'}, node:X:child:Number={'Sing'}, node:X:child:PronType={'Prs'}, node:X:child:VerbForm={'Fin'}, node:CLH:own:Mood=Ind, node:CLH:own:Tense=Pres, node:CLH:own:VerbForm=Fin, node:CLH:own:Voice=Act, node:CLH:own:rel_shallow=root</t>
  </si>
  <si>
    <t>sent_id: 1700_1749_1523_sec330 | rules: sentence:meta:period=1700_1749, node:X:own:Voice=Act, node:X:child:VerbForm={'Part', 'Fin', 'Inf'}, node:X:child:Case={'Nom'}, node:X:child:Definite={'Def', 'Ind'}, node:X:child:Degree={'Pos'}, node:X:child:Gender={'Com', 'Neut'}, node:X:child:Number={'Sing'}, node:X:child:PronType={'Prs'}, node:CLH:own:Mood=Ind, node:CLH:own:Tense=Past, node:CLH:own:VerbForm=Fin, node:CLH:own:Voice=Act, node:CLH:own:rel_shallow=root</t>
  </si>
  <si>
    <t>sent_id: 1700_1749_1824_sec330 | rules: sentence:meta:period=1700_1749, node:X:own:Voice=Act, node:X:child:VerbForm={'Sup', 'Fin'}, node:X:child:Case={'Nom', 'Acc'}, node:X:child:Definite={'Def', 'Ind'}, node:X:child:Gender={'Com'}, node:X:child:Number={'Sing'}, node:X:child:Degree={'Pos'}, node:X:child:PronType={'Prs'}, node:CLH:own:Mood=Ind, node:CLH:own:Tense=Pres, node:CLH:own:VerbForm=Fin, node:CLH:own:Voice=Act, node:CLH:own:rel_shallow=parataxis</t>
  </si>
  <si>
    <t>sent_id: 1700_1749_1833_sec330 | rules: sentence:meta:period=1700_1749, node:X:own:Voice=Act, node:X:child:Case={'Nom', 'Acc'}, node:X:child:Definite={'Def', 'Ind'}, node:X:child:Gender={'Com'}, node:X:child:Number={'Sing'}, node:X:child:PronType={'Prs'}, node:X:child:VerbForm={'Fin'}, node:CLH:own:Mood=Ind, node:CLH:own:Tense=Pres, node:CLH:own:VerbForm=Fin, node:CLH:own:Voice=Act, node:CLH:own:rel_shallow=acl:relcl</t>
  </si>
  <si>
    <t>sent_id: 1700_1749_16_letter141673 | rules: sentence:meta:period=1700_1749, node:X:own:Voice=Act, node:X:child:VerbForm={'Fin', 'Inf'}, node:X:child:Case={'Nom'}, node:X:child:Definite={'Ind'}, node:X:child:Gender={'Com'}, node:X:child:Number={'Sing'}, node:CLH:own:VerbForm=Inf, node:CLH:own:Voice=Act, node:CLH:own:rel_shallow=advcl</t>
  </si>
  <si>
    <t>sent_id: 1700_1749_41_letter141673 | rules: sentence:meta:period=1700_1749, node:X:own:Voice=Act, node:X:child:VerbForm={'Fin'}, node:X:child:Case={'Nom'}, node:X:child:Definite={'Def'}, node:X:child:Gender={'Com'}, node:X:child:Number={'Sing'}, node:X:child:PronType={'Prs'}, node:CLH:own:VerbForm=Sup, node:CLH:own:Voice=Act, node:CLH:own:rel_shallow=root</t>
  </si>
  <si>
    <t>sent_id: 1700_1749_130_letter141673 | rules: sentence:meta:period=1700_1749, node:X:own:Voice=Act, node:X:child:VerbForm={'Fin'}, node:X:child:Case={'Nom'}, node:X:child:Definite={'Def', 'Ind'}, node:X:child:Gender={'Com'}, node:X:child:Number={'Plur', 'Sing'}, node:X:child:Degree={'Pos'}, node:X:child:PronType={'Prs'}, node:CLH:own:VerbForm=Inf, node:CLH:own:Voice=Act, node:CLH:own:rel_shallow=xcomp</t>
  </si>
  <si>
    <t>sent_id: 1700_1749_222_letter141673 | rules: sentence:meta:period=1700_1749, node:X:own:Voice=Act, node:X:child:VerbForm={'Fin', 'Inf'}, node:X:child:Definite={'Def'}, node:X:child:Number={'Plur'}, node:X:child:Poss={'Yes'}, node:X:child:PronType={'Prs'}, node:CLH:own:Mood=Ind, node:CLH:own:Tense=Pres, node:CLH:own:VerbForm=Fin, node:CLH:own:Voice=Pass, node:CLH:own:rel_shallow=root</t>
  </si>
  <si>
    <t>sent_id: 1700_1749_228_letter141673 | rules: sentence:meta:period=1700_1749, node:X:own:Voice=Act, node:X:child:VerbForm={'Fin'}, node:X:child:Case={'Nom', 'Acc'}, node:X:child:Definite={'Def'}, node:X:child:Gender={'Com'}, node:X:child:Number={'Sing'}, node:X:child:PronType={'Prs'}, node:CLH:own:VerbForm=Inf, node:CLH:own:Voice=Act, node:CLH:own:rel_shallow=xcomp</t>
  </si>
  <si>
    <t>sent_id: 1700_1749_338_letter141673 | rules: sentence:meta:period=1700_1749, node:X:own:Voice=Act, node:X:child:VerbForm={'Fin'}, node:X:child:Case={'Nom'}, node:X:child:Definite={'Def'}, node:X:child:Gender={'Com'}, node:X:child:Number={'Sing'}, node:X:child:PronType={'Prs'}, node:CLH:own:VerbForm=Inf, node:CLH:own:Voice=Act, node:CLH:own:rel_shallow=conj</t>
  </si>
  <si>
    <t>sent_id: 1700_1749_339_letter141673 | rules: sentence:meta:period=1700_1749, node:X:own:Voice=Act, node:X:child:Case={'Nom'}, node:X:child:Definite={'Def', 'Ind'}, node:X:child:Gender={'Com', 'Neut'}, node:X:child:Number={'Sing'}, node:X:child:PronType={'Prs', 'Dem'}, node:X:child:VerbForm={'Fin'}, node:CLH:own:Mood=Ind, node:CLH:own:Tense=Pres, node:CLH:own:VerbForm=Fin, node:CLH:own:Voice=Act, node:CLH:own:rel_shallow=root</t>
  </si>
  <si>
    <t>sent_id: 1700_1749_339_letter141673 | rules: sentence:meta:period=1700_1749, node:X:own:Voice=Act, node:X:child:VerbForm={'Sup', 'Fin'}, node:X:child:Case={'Nom'}, node:X:child:Definite={'Def', 'Ind'}, node:X:child:Gender={'Com', 'Neut'}, node:X:child:Number={'Sing'}, node:X:child:PronType={'Prs'}, node:CLH:own:Mood=Ind, node:CLH:own:Tense=Past, node:CLH:own:VerbForm=Fin, node:CLH:own:Voice=Act, node:CLH:own:rel_shallow=acl:relcl</t>
  </si>
  <si>
    <t>sent_id: 1700_1749_377_letter141673 | rules: sentence:meta:period=1700_1749, node:X:own:Voice=Act, node:X:child:VerbForm={'Fin'}, node:X:child:Case={'Nom'}, node:X:child:Definite={'Ind'}, node:X:child:Gender={'Com'}, node:X:child:Number={'Sing'}, node:CLH:own:Mood=Ind, node:CLH:own:Tense=Past, node:CLH:own:VerbForm=Fin, node:CLH:own:Voice=Act, node:CLH:own:rel_shallow=root</t>
  </si>
  <si>
    <t>sent_id: 1700_1749_404_letter141673 | rules: sentence:meta:period=1700_1749, node:X:own:Voice=Act, node:X:child:VerbForm={'Sup', 'Fin', 'Inf'}, node:X:child:Case={'Nom'}, node:X:child:Definite={'Ind'}, node:X:child:Gender={'Com'}, node:X:child:Number={'Sing'}, node:CLH:own:Mood=Ind, node:CLH:own:Tense=Pres, node:CLH:own:VerbForm=Fin, node:CLH:own:Voice=Act, node:CLH:own:rel_shallow=xcomp</t>
  </si>
  <si>
    <t>sent_id: 1700_1749_421_letter141673 | rules: sentence:meta:period=1700_1749, node:X:own:Voice=Act, node:X:child:VerbForm={'Fin'}, node:X:child:Case={'Nom'}, node:X:child:Definite={'Def'}, node:X:child:Gender={'Com'}, node:X:child:Number={'Sing'}, node:X:child:Poss={'Yes'}, node:X:child:PronType={'Prs'}, node:CLH:own:VerbForm=Inf, node:CLH:own:Voice=Act, node:CLH:own:rel_shallow=advcl</t>
  </si>
  <si>
    <t>sent_id: 1700_1749_465_letter141673 | rules: sentence:meta:period=1700_1749, node:X:own:Voice=Act, node:X:child:Polarity={'Neg'}, node:X:child:VerbForm={'Fin'}, node:X:child:Case={'Nom'}, node:X:child:Definite={'Ind'}, node:X:child:Gender={'Com'}, node:X:child:Number={'Sing'}, node:CLH:own:VerbForm=Inf, node:CLH:own:Voice=Act, node:CLH:own:rel_shallow=root</t>
  </si>
  <si>
    <t>sent_id: 1700_1749_509_letter141673 | rules: sentence:meta:period=1700_1749, node:X:own:Voice=Act, node:X:child:VerbForm={'Inf'}, node:X:child:Degree={'Pos'}, node:X:child:Case={'Nom'}, node:X:child:Definite={'Def', 'Ind'}, node:X:child:Gender={'Com'}, node:X:child:Number={'Plur'}, node:X:child:PronType={'Prs'}, node:CLH:own:VerbForm=Sup, node:CLH:own:Voice=Act, node:CLH:own:rel_shallow=conj</t>
  </si>
  <si>
    <t>sent_id: 1700_1749_524_letter141673 | rules: sentence:meta:period=1700_1749, node:X:own:Voice=Act, node:X:child:Case={'Nom'}, node:X:child:Definite={'Ind'}, node:X:child:Gender={'Neut'}, node:X:child:Number={'Sing'}, node:X:child:VerbForm={'Inf'}, node:X:child:Polarity={'Neg'}, node:CLH:own:Mood=Ind, node:CLH:own:Tense=Pres, node:CLH:own:VerbForm=Fin, node:CLH:own:Voice=Act, node:CLH:own:rel_shallow=root</t>
  </si>
  <si>
    <t>sent_id: 1700_1749_525_letter141673 | rules: sentence:meta:period=1700_1749, node:X:own:Voice=Act, node:X:child:VerbForm={'Fin', 'Inf'}, node:X:child:Case={'Nom'}, node:X:child:Definite={'Def', 'Ind'}, node:X:child:Gender={'Com', 'Neut'}, node:X:child:Number={'Sing'}, node:X:child:Degree={'Pos'}, node:CLH:own:Mood=Ind, node:CLH:own:Tense=Pres, node:CLH:own:VerbForm=Fin, node:CLH:own:Voice=Act, node:CLH:own:rel_shallow=root</t>
  </si>
  <si>
    <t>sent_id: 1700_1749_559_letter141673 | rules: sentence:meta:period=1700_1749, node:X:own:Voice=Act, node:X:child:VerbForm={'Fin'}, node:X:child:Case={'Nom'}, node:X:child:Definite={'Def', 'Ind'}, node:X:child:Gender={'Com'}, node:X:child:Number={'Plur', 'Sing'}, node:CLH:own:Mood=Ind, node:CLH:own:Tense=Pres, node:CLH:own:VerbForm=Fin, node:CLH:own:Voice=Act, node:CLH:own:rel_shallow=root</t>
  </si>
  <si>
    <t>sent_id: 1700_1749_611_letter141673 | rules: sentence:meta:period=1700_1749, node:X:own:Voice=Act, node:X:child:Definite={'Def', 'Ind'}, node:X:child:Gender={'Com'}, node:X:child:Number={'Sing'}, node:X:child:PronType={'Prs', 'Tot'}, node:X:child:VerbForm={'Fin'}, node:X:child:Case={'Nom'}, node:CLH:own:VerbForm=Inf, node:CLH:own:Voice=Act, node:CLH:own:rel_shallow=root</t>
  </si>
  <si>
    <t>sent_id: 1700_1749_627_letter141673 | rules: sentence:meta:period=1700_1749, node:X:own:Voice=Act, node:X:child:Case={'Nom'}, node:X:child:Definite={'Def', 'Ind'}, node:X:child:Gender={'Com'}, node:X:child:Number={'Plur', 'Sing'}, node:X:child:VerbForm={'Fin'}, node:X:child:Poss={'Yes'}, node:X:child:PronType={'Prs'}, node:CLH:own:Mood=Ind, node:CLH:own:Tense=Past, node:CLH:own:VerbForm=Fin, node:CLH:own:Voice=Act, node:CLH:own:rel_shallow=root</t>
  </si>
  <si>
    <t>sent_id: 1700_1749_807_letter141673 | rules: sentence:meta:period=1700_1749, node:X:own:Voice=Act, node:X:child:VerbForm={'Fin'}, node:X:child:Case={'Nom'}, node:X:child:Definite={'Ind'}, node:X:child:Gender={'Com', 'Neut'}, node:X:child:Number={'Plur', 'Sing'}, node:CLH:own:VerbForm=Sup, node:CLH:own:Voice=Act, node:CLH:own:rel_shallow=conj</t>
  </si>
  <si>
    <t>sent_id: 1700_1749_807_letter141673 | rules: sentence:meta:period=1700_1749, node:X:own:Voice=Act, node:X:child:VerbForm={'Fin', 'Inf'}, node:X:child:Case={'Nom'}, node:X:child:Definite={'Def'}, node:X:child:Number={'Plur'}, node:X:child:PronType={'Prs'}, node:CLH:own:Case=Nom, node:CLH:own:Definite=Ind, node:CLH:own:Degree=Pos, node:CLH:own:Number=Plur, node:CLH:own:rel_shallow=acl:relcl</t>
  </si>
  <si>
    <t>sent_id: 1700_1749_820_letter141673 | rules: sentence:meta:period=1700_1749, node:X:own:Voice=Act, node:X:child:Abbr={'Yes'}, node:X:child:VerbForm={'Fin'}, node:X:child:Case={'Nom'}, node:X:child:Definite={'Ind'}, node:X:child:Gender={'Com'}, node:X:child:Number={'Sing'}, node:CLH:own:Mood=Ind, node:CLH:own:Tense=Pres, node:CLH:own:VerbForm=Fin, node:CLH:own:Voice=Act, node:CLH:own:rel_shallow=root</t>
  </si>
  <si>
    <t>sent_id: 1700_1749_821_letter141673 | rules: sentence:meta:period=1700_1749, node:X:own:Voice=Act, node:X:child:Case={'Nom'}, node:X:child:Definite={'Def', 'Ind'}, node:X:child:Gender={'Com', 'Neut'}, node:X:child:Number={'Plur', 'Sing'}, node:X:child:VerbForm={'Fin'}, node:X:child:PronType={'Prs'}, node:CLH:own:Mood=Ind, node:CLH:own:Tense=Pres, node:CLH:own:VerbForm=Fin, node:CLH:own:rel_shallow=root</t>
  </si>
  <si>
    <t>sent_id: 1700_1749_823_letter141673 | rules: sentence:meta:period=1700_1749, node:X:own:Voice=Act, node:X:child:VerbForm={'Fin'}, node:X:child:Case={'Nom'}, node:X:child:Definite={'Def'}, node:X:child:Gender={'Com'}, node:X:child:Number={'Sing'}, node:X:child:PronType={'Prs'}, node:CLH:own:Case=Nom, node:CLH:own:Definite=Ind, node:CLH:own:Gender=Com, node:CLH:own:Number=Sing, node:CLH:own:rel_shallow=conj</t>
  </si>
  <si>
    <t>sent_id: 1700_1749_832_letter141673 | rules: sentence:meta:period=1700_1749, node:X:own:Voice=Act, node:X:child:VerbForm={'Fin'}, node:X:child:Case={'Nom'}, node:X:child:Definite={'Def', 'Ind'}, node:X:child:Gender={'Com'}, node:X:child:Number={'Sing'}, node:X:child:Degree={'Pos'}, node:X:child:PronType={'Prs'}, node:CLH:own:VerbForm=Inf, node:CLH:own:Voice=Act, node:CLH:own:rel_shallow=xcomp</t>
  </si>
  <si>
    <t>sent_id: 1700_1749_884_letter141673 | rules: sentence:meta:period=1700_1749, node:X:own:Voice=Act, node:X:child:VerbForm={'Fin', 'Inf'}, node:X:child:Case={'Nom'}, node:X:child:Definite={'Def', 'Ind'}, node:X:child:Gender={'Com', 'Neut'}, node:X:child:Number={'Sing'}, node:X:child:PronType={'Prs'}, node:CLH:own:Mood=Ind, node:CLH:own:Tense=Pres, node:CLH:own:VerbForm=Fin, node:CLH:own:rel_shallow=root</t>
  </si>
  <si>
    <t>sent_id: 1700_1749_885_letter141673 | rules: sentence:meta:period=1700_1749, node:X:own:Voice=Act, node:X:child:Case={'Nom'}, node:X:child:Definite={'Def', 'Ind'}, node:X:child:Gender={'Com'}, node:X:child:Number={'Sing'}, node:X:child:VerbForm={'Inf'}, node:CLH:own:VerbForm=Sup, node:CLH:own:Voice=Act, node:CLH:own:rel_shallow=root</t>
  </si>
  <si>
    <t>sent_id: 1700_1749_930_letter141673 | rules: sentence:meta:period=1700_1749, node:X:own:Voice=Act, node:X:child:Definite={'Def'}, node:X:child:Gender={'Com', 'Neut'}, node:X:child:Number={'Sing'}, node:X:child:PronType={'Prs'}, node:X:child:VerbForm={'Fin'}, node:X:child:Case={'Nom'}, node:CLH:own:Case=Nom, node:CLH:own:Definite=Ind, node:CLH:own:Gender=Com, node:CLH:own:Number=Sing, node:CLH:own:rel_shallow=root</t>
  </si>
  <si>
    <t>sent_id: 1700_1749_985_letter141673 | rules: sentence:meta:period=1700_1749, node:X:own:Voice=Act, node:X:child:Polarity={'Neg'}, node:X:child:VerbForm={'Fin'}, node:X:child:Case={'Nom'}, node:X:child:Definite={'Def'}, node:X:child:Gender={'Com'}, node:X:child:Number={'Sing'}, node:X:child:PronType={'Prs'}, node:CLH:own:VerbForm=Inf, node:CLH:own:Voice=Act, node:CLH:own:rel_shallow=root</t>
  </si>
  <si>
    <t>sent_id: 1700_1749_991_letter141673 | rules: sentence:meta:period=1700_1749, node:X:own:Voice=Act, node:X:child:VerbForm={'Fin'}, node:X:child:Case={'Nom'}, node:X:child:Definite={'Ind'}, node:X:child:Gender={'Com'}, node:X:child:Number={'Sing'}, node:CLH:own:Mood=Ind, node:CLH:own:Tense=Pres, node:CLH:own:VerbForm=Fin, node:CLH:own:Voice=Act, node:CLH:own:rel_shallow=conj</t>
  </si>
  <si>
    <t>sent_id: 1700_1749_1036_letter141673 | rules: sentence:meta:period=1700_1749, node:X:own:Voice=Act, node:X:child:Case={'Nom'}, node:X:child:Definite={'Def', 'Ind'}, node:X:child:Gender={'Com'}, node:X:child:Number={'Plur', 'Sing'}, node:X:child:VerbForm={'Fin'}, node:X:child:PronType={'Int', 'Rel'}, node:CLH:own:VerbForm=Inf, node:CLH:own:Voice=Act, node:CLH:own:rel_shallow=parataxis</t>
  </si>
  <si>
    <t>sent_id: 1700_1749_1053_letter141673 | rules: sentence:meta:period=1700_1749, node:X:own:Voice=Act, node:X:child:VerbForm={'Fin'}, node:X:child:Case={'Acc'}, node:X:child:Definite={'Def'}, node:X:child:Gender={'Com'}, node:X:child:Number={'Sing'}, node:X:child:PronType={'Prs'}, node:CLH:own:Mood=Ind, node:CLH:own:Tense=Pres, node:CLH:own:VerbForm=Fin, node:CLH:own:Voice=Act, node:CLH:own:rel_shallow=advcl</t>
  </si>
  <si>
    <t>sent_id: 1700_1749_1081_letter141673 | rules: sentence:meta:period=1700_1749, node:X:own:Voice=Act, node:X:child:VerbForm={'Fin'}, node:X:child:Case={'Nom'}, node:X:child:Definite={'Def', 'Ind'}, node:X:child:Gender={'Com', 'Neut'}, node:X:child:Number={'Sing'}, node:X:child:PronType={'Prs'}, node:CLH:own:Mood=Imp, node:CLH:own:VerbForm=Fin, node:CLH:own:Voice=Act, node:CLH:own:rel_shallow=conj</t>
  </si>
  <si>
    <t>sent_id: 1700_1749_1110_letter141673 | rules: sentence:meta:period=1700_1749, node:X:own:Voice=Act, node:X:child:Case={'Nom'}, node:X:child:VerbForm={'Part', 'Fin'}, node:X:child:Definite={'Ind'}, node:X:child:Degree={'Pos'}, node:X:child:Gender={'Neut'}, node:X:child:Number={'Sing'}, node:CLH:own:VerbForm=Sup, node:CLH:own:Voice=Act, node:CLH:own:rel_shallow=root</t>
  </si>
  <si>
    <t>sent_id: 1700_1749_1186_letter141673 | rules: sentence:meta:period=1700_1749, node:X:own:Voice=Act, node:X:child:Case={'Acc'}, node:X:child:Definite={'Def'}, node:X:child:Gender={'Com'}, node:X:child:Number={'Sing'}, node:X:child:PronType={'Prs'}, node:X:child:VerbForm={'Fin'}, node:CLH:own:VerbForm=Sup, node:CLH:own:Voice=Act, node:CLH:own:rel_shallow=root</t>
  </si>
  <si>
    <t>sent_id: 1700_1749_1225_letter141673 | rules: sentence:meta:period=1700_1749, node:X:own:Voice=Act, node:X:child:VerbForm={'Fin'}, node:X:child:Case={'Nom'}, node:X:child:Definite={'Def', 'Ind'}, node:X:child:Gender={'Com'}, node:X:child:Number={'Sing'}, node:X:child:PronType={'Prs'}, node:CLH:own:Mood=Ind, node:CLH:own:Tense=Pres, node:CLH:own:VerbForm=Fin, node:CLH:own:Voice=Act, node:CLH:own:rel_shallow=root</t>
  </si>
  <si>
    <t>sent_id: 1700_1749_1253_letter141673 | rules: sentence:meta:period=1700_1749, node:X:own:Voice=Act, node:X:child:VerbForm={'Fin', 'Inf'}, node:X:child:Case={'Nom'}, node:X:child:Definite={'Def'}, node:X:child:Gender={'Com'}, node:X:child:Number={'Sing'}, node:X:child:PronType={'Prs'}, node:CLH:own:Mood=Ind, node:CLH:own:Tense=Pres, node:CLH:own:VerbForm=Fin, node:CLH:own:Voice=Act, node:CLH:own:rel_shallow=root</t>
  </si>
  <si>
    <t>sent_id: 1700_1749_1278_letter141673 | rules: sentence:meta:period=1700_1749, node:X:own:Voice=Act, node:X:child:VerbForm={'Sup', 'Inf'}, node:X:child:Case={'Nom'}, node:X:child:Definite={'Def', 'Ind'}, node:X:child:Gender={'Com'}, node:X:child:Number={'Plur', 'Sing'}, node:X:child:PronType={'Prs'}, node:CLH:own:VerbForm=Inf, node:CLH:own:Voice=Act, node:CLH:own:rel_shallow=ccomp</t>
  </si>
  <si>
    <t>sent_id: 1700_1749_1306_letter141673 | rules: sentence:meta:period=1700_1749, node:X:own:Voice=Act, node:X:child:Case={'Nom'}, node:X:child:Definite={'Def', 'Ind'}, node:X:child:Degree={'Pos'}, node:X:child:Gender={'Com', 'Neut'}, node:X:child:Number={'Sing'}, node:X:child:VerbForm={'Part', 'Fin'}, node:X:child:NumType={'Card'}, node:X:child:PronType={'Prs'}, node:CLH:own:Case=Nom, node:CLH:own:Definite=Ind, node:CLH:own:Degree=Pos, node:CLH:own:Gender=Neut, node:CLH:own:Number=Sing, node:CLH:own:rel_shallow=advmod</t>
  </si>
  <si>
    <t>sent_id: 1700_1749_1308_letter141673 | rules: sentence:meta:period=1700_1749, node:X:own:Voice=Act, node:X:child:VerbForm={'Sup', 'Fin'}, node:X:child:Case={'Nom'}, node:X:child:Definite={'Def', 'Ind'}, node:X:child:Gender={'Com'}, node:X:child:Number={'Sing'}, node:X:child:PronType={'Prs'}, node:CLH:own:rel_shallow=conj</t>
  </si>
  <si>
    <t>sent_id: 1700_1749_1399_letter141673 | rules: sentence:meta:period=1700_1749, node:X:own:Voice=Act, node:X:child:Case={'Nom', 'Acc'}, node:X:child:Definite={'Def'}, node:X:child:PronType={'Prs'}, node:X:child:Degree={'Pos'}, node:X:child:VerbForm={'Fin'}, node:CLH:own:Mood=Ind, node:CLH:own:Tense=Pres, node:CLH:own:VerbForm=Fin, node:CLH:own:Voice=Act, node:CLH:own:rel_shallow=parataxis</t>
  </si>
  <si>
    <t>sent_id: 1700_1749_1407_letter141673 | rules: sentence:meta:period=1700_1749, node:X:own:Voice=Act, node:X:child:VerbForm={'Inf'}, node:X:child:Case={'Nom'}, node:X:child:Definite={'Def', 'Ind'}, node:X:child:Gender={'Com', 'Neut'}, node:X:child:Number={'Plur', 'Sing'}, node:X:child:PronType={'Prs'}, node:X:child:Degree={'Pos'}, node:CLH:own:VerbForm=Inf, node:CLH:own:Voice=Act, node:CLH:own:rel_shallow=csubj</t>
  </si>
  <si>
    <t>sent_id: 1700_1749_1496_letter141673 | rules: sentence:meta:period=1700_1749, node:X:own:Voice=Act, node:X:child:Case={'Nom'}, node:X:child:Definite={'Def', 'Ind'}, node:X:child:Gender={'Com', 'Neut'}, node:X:child:Number={'Sing'}, node:X:child:VerbForm={'Fin'}, node:CLH:own:Mood=Ind, node:CLH:own:Tense=Pres, node:CLH:own:VerbForm=Fin, node:CLH:own:Voice=Act, node:CLH:own:rel_shallow=advcl</t>
  </si>
  <si>
    <t>sent_id: 1700_1749_1505_letter141673 | rules: sentence:meta:period=1700_1749, node:X:own:Voice=Act, node:X:child:Case={'Nom'}, node:X:child:Definite={'Def', 'Ind'}, node:X:child:Gender={'Neut'}, node:X:child:Number={'Sing'}, node:X:child:VerbForm={'Fin'}, node:CLH:own:VerbForm=Inf, node:CLH:own:Voice=Act, node:CLH:own:rel_shallow=root</t>
  </si>
  <si>
    <t>sent_id: 1700_1749_1509_letter141673 | rules: sentence:meta:period=1700_1749, node:X:own:Voice=Act, node:X:child:Case={'Nom', 'Acc'}, node:X:child:Definite={'Def', 'Ind'}, node:X:child:Gender={'Com', 'Neut'}, node:X:child:Number={'Sing'}, node:X:child:PronType={'Prs'}, node:X:child:VerbForm={'Fin'}, node:CLH:own:Case=Nom, node:CLH:own:Definite=Ind, node:CLH:own:Degree=Pos, node:CLH:own:Gender=Neut, node:CLH:own:Number=Sing, node:CLH:own:rel_shallow=parataxis</t>
  </si>
  <si>
    <t>sent_id: 1700_1749_1534_letter141673 | rules: sentence:meta:period=1700_1749, node:X:own:Voice=Act, node:X:child:Definite={'Def'}, node:X:child:Gender={'Neut'}, node:X:child:Number={'Sing'}, node:X:child:PronType={'Prs'}, node:X:child:VerbForm={'Fin'}, node:X:child:Degree={'Pos'}, node:X:child:Polarity={'Neg'}, node:CLH:own:Case=Nom, node:CLH:own:Definite=Ind, node:CLH:own:Gender=Com, node:CLH:own:Number=Sing, node:CLH:own:rel_shallow=conj</t>
  </si>
  <si>
    <t>sent_id: 1700_1749_1534_letter141673 | rules: sentence:meta:period=1700_1749, node:X:own:Voice=Act, node:X:child:VerbForm={'Fin'}, node:X:child:Case={'Nom'}, node:X:child:Definite={'Def', 'Ind'}, node:X:child:Gender={'Com', 'Neut'}, node:X:child:Number={'Sing'}, node:CLH:own:Definite=Def, node:CLH:own:Gender=Neut, node:CLH:own:Number=Sing, node:CLH:own:PronType=Prs, node:CLH:own:rel_shallow=obj</t>
  </si>
  <si>
    <t>sent_id: 1700_1749_1548_letter141673 | rules: sentence:meta:period=1700_1749, node:X:own:Voice=Act, node:X:child:Definite={'Def'}, node:X:child:Gender={'Com', 'Neut'}, node:X:child:Number={'Sing'}, node:X:child:PronType={'Prs'}, node:X:child:Case={'Nom', 'Acc'}, node:X:child:VerbForm={'Fin'}, node:CLH:own:Case=Nom, node:CLH:own:Definite=Ind, node:CLH:own:Degree=Pos, node:CLH:own:Gender=Neut, node:CLH:own:Number=Sing, node:CLH:own:rel_shallow=root</t>
  </si>
  <si>
    <t>sent_id: 1700_1749_1549_letter141673 | rules: sentence:meta:period=1700_1749, node:X:own:Voice=Act, node:X:child:Case={'Acc'}, node:X:child:Definite={'Def', 'Ind'}, node:X:child:Number={'Plur'}, node:X:child:PronType={'Prs', 'Tot'}, node:X:child:VerbForm={'Fin'}, node:X:child:Polarity={'Neg'}, node:CLH:own:Case=Nom, node:CLH:own:Definite=Ind, node:CLH:own:Gender=Neut, node:CLH:own:Number=Sing, node:CLH:own:rel_shallow=root</t>
  </si>
  <si>
    <t>sent_id: 1700_1749_1551_letter141673 | rules: sentence:meta:period=1700_1749, node:X:own:Voice=Pass, node:X:child:VerbForm={'Inf'}, node:X:child:Case={'Nom'}, node:X:child:Definite={'Def', 'Ind'}, node:X:child:Gender={'Com'}, node:X:child:Number={'Plur', 'Sing'}, node:X:child:PronType={'Prs'}, node:CLH:own:Mood=Ind, node:CLH:own:Tense=Pres, node:CLH:own:VerbForm=Fin, node:CLH:own:Voice=Act, node:CLH:own:rel_shallow=root</t>
  </si>
  <si>
    <t>sent_id: 1700_1749_1605_letter141673 | rules: sentence:meta:period=1700_1749, node:X:own:Voice=Act, node:X:child:Case={'Nom'}, node:X:child:Definite={'Def'}, node:X:child:Gender={'Com'}, node:X:child:Number={'Sing'}, node:X:child:VerbForm={'Fin'}, node:CLH:own:Mood=Ind, node:CLH:own:Tense=Pres, node:CLH:own:VerbForm=Fin, node:CLH:own:Voice=Act, node:CLH:own:rel_shallow=root</t>
  </si>
  <si>
    <t>sent_id: 1700_1749_1649_letter141673 | rules: sentence:meta:period=1700_1749, node:X:own:Voice=Act, node:X:child:Case={'Nom'}, node:X:child:Definite={'Ind'}, node:X:child:Gender={'Com'}, node:X:child:Number={'Plur'}, node:X:child:VerbForm={'Fin'}, node:CLH:own:VerbForm=Sup, node:CLH:own:Voice=Act, node:CLH:own:rel_shallow=root</t>
  </si>
  <si>
    <t>sent_id: 1700_1749_1673_letter141673 | rules: sentence:meta:period=1700_1749, node:X:own:Voice=Act, node:X:child:VerbForm={'Fin', 'Inf'}, node:X:child:Case={'Nom'}, node:X:child:Definite={'Def', 'Ind'}, node:X:child:Gender={'Com'}, node:X:child:Number={'Sing'}, node:X:child:PronType={'Prs'}, node:CLH:own:Case=Nom, node:CLH:own:Definite=Ind, node:CLH:own:Gender=Com, node:CLH:own:Number=Sing, node:CLH:own:rel_shallow=obj</t>
  </si>
  <si>
    <t>sent_id: 1700_1749_1762_letter141673 | rules: sentence:meta:period=1700_1749, node:X:own:Voice=Act, node:X:child:Case={'Nom'}, node:X:child:Definite={'Def', 'Ind'}, node:X:child:Gender={'Com'}, node:X:child:Number={'Plur', 'Sing'}, node:X:child:VerbForm={'Inf'}, node:X:child:PronType={'Prs'}, node:CLH:own:VerbForm=Inf, node:CLH:own:Voice=Act, node:CLH:own:rel_shallow=conj</t>
  </si>
  <si>
    <t>sent_id: 1700_1749_1920_letter141673 | rules: sentence:meta:period=1700_1749, node:X:own:Voice=Act, node:X:child:Case={'Acc'}, node:X:child:Definite={'Def'}, node:X:child:Gender={'Com'}, node:X:child:Number={'Sing'}, node:X:child:PronType={'Prs'}, node:X:child:VerbForm={'Fin'}, node:CLH:own:VerbForm=Inf, node:CLH:own:Voice=Act, node:CLH:own:rel_shallow=conj</t>
  </si>
  <si>
    <t>sent_id: 1700_1749_1990_letter141673 | rules: sentence:meta:period=1700_1749, node:X:own:Voice=Act, node:X:child:VerbForm={'Inf'}, node:X:child:Case={'Nom'}, node:X:child:Definite={'Def', 'Ind'}, node:X:child:Number={'Plur'}, node:X:child:PronType={'Prs'}, node:X:child:Degree={'Pos'}, node:CLH:own:Mood=Ind, node:CLH:own:Tense=Pres, node:CLH:own:VerbForm=Fin, node:CLH:own:Voice=Act, node:CLH:own:rel_shallow=root</t>
  </si>
  <si>
    <t>sent_id: 1700_1749_2034_letter141673 | rules: sentence:meta:period=1700_1749, node:X:own:Voice=Act, node:X:child:VerbForm={'Fin'}, node:X:child:Case={'Nom', 'Acc'}, node:X:child:Definite={'Def', 'Ind'}, node:X:child:Number={'Plur', 'Sing'}, node:X:child:PronType={'Prs'}, node:X:child:Gender={'Com', 'Neut'}, node:X:child:Degree={'Pos'}, node:CLH:own:Case=Nom, node:CLH:own:Definite=Ind, node:CLH:own:Degree=Pos, node:CLH:own:Gender=Neut, node:CLH:own:Number=Sing, node:CLH:own:rel_shallow=root</t>
  </si>
  <si>
    <t>sent_id: 1700_1749_2102_letter141673 | rules: sentence:meta:period=1700_1749, node:X:own:Voice=Pass, node:X:child:Case={'Nom'}, node:X:child:Definite={'Ind'}, node:X:child:Gender={'Neut'}, node:X:child:Number={'Sing'}, node:X:child:VerbForm={'Fin'}, node:CLH:own:Mood=Ind, node:CLH:own:Tense=Past, node:CLH:own:VerbForm=Fin, node:CLH:own:Voice=Act, node:CLH:own:rel_shallow=root</t>
  </si>
  <si>
    <t>sent_id: 1700_1749_2118_letter141673 | rules: sentence:meta:period=1700_1749, node:X:own:Voice=Act, node:X:child:Case={'Nom'}, node:X:child:Definite={'Def', 'Ind'}, node:X:child:Gender={'Com'}, node:X:child:Number={'Sing'}, node:X:child:VerbForm={'Fin'}, node:X:child:PronType={'Prs'}, node:CLH:own:Mood=Ind, node:CLH:own:Tense=Pres, node:CLH:own:VerbForm=Fin, node:CLH:own:Voice=Act, node:CLH:own:rel_shallow=root</t>
  </si>
  <si>
    <t>sent_id: 1700_1749_2219_letter141673 | rules: sentence:meta:period=1700_1749, node:X:own:Voice=Act, node:X:child:Case={'Nom', 'Acc'}, node:X:child:Definite={'Def', 'Ind'}, node:X:child:Gender={'Com'}, node:X:child:Number={'Plur', 'Sing'}, node:X:child:PronType={'Prs'}, node:X:child:VerbForm={'Fin', 'Inf'}, node:CLH:own:VerbForm=Sup, node:CLH:own:Voice=Act, node:CLH:own:rel_shallow=root</t>
  </si>
  <si>
    <t>sent_id: 1700_1749_2259_letter141673 | rules: sentence:meta:period=1700_1749, node:X:own:Voice=Act, node:X:child:VerbForm={'Fin', 'Inf'}, node:X:child:Case={'Nom', 'Acc'}, node:X:child:Definite={'Def', 'Ind'}, node:X:child:Gender={'Com', 'Neut'}, node:X:child:Number={'Sing'}, node:X:child:PronType={'Prs'}, node:CLH:own:Mood=Ind, node:CLH:own:Tense=Pres, node:CLH:own:VerbForm=Fin, node:CLH:own:Voice=Act, node:CLH:own:rel_shallow=ccomp</t>
  </si>
  <si>
    <t>sent_id: 1700_1749_2315_letter141673 | rules: sentence:meta:period=1700_1749, node:X:own:Voice=Act, node:X:child:Case={'Nom'}, node:X:child:Definite={'Def', 'Ind'}, node:X:child:Gender={'Com', 'Neut'}, node:X:child:Number={'Plur', 'Sing'}, node:X:child:VerbForm={'Fin'}, node:X:child:PronType={'Prs'}, node:CLH:own:VerbForm=Sup, node:CLH:own:Voice=Act, node:CLH:own:rel_shallow=conj</t>
  </si>
  <si>
    <t>sent_id: 1700_1749_2320_letter141673 | rules: sentence:meta:period=1700_1749, node:X:own:Voice=Act, node:X:child:VerbForm={'Fin'}, node:X:child:Definite={'Def'}, node:X:child:Gender={'Neut'}, node:X:child:Number={'Sing'}, node:X:child:PronType={'Prs'}, node:CLH:own:Mood=Ind, node:CLH:own:VerbForm=Fin, node:CLH:own:Voice=Act, node:CLH:own:rel_shallow=root</t>
  </si>
  <si>
    <t>sent_id: 1700_1749_2434_letter141673 | rules: sentence:meta:period=1700_1749, node:X:own:Voice=Act, node:X:child:Case={'Nom'}, node:X:child:Definite={'Def', 'Ind'}, node:X:child:Gender={'Com', 'Neut'}, node:X:child:Number={'Sing'}, node:X:child:VerbForm={'Fin'}, node:X:child:PronType={'Prs'}, node:CLH:own:Mood=Ind, node:CLH:own:Tense=Pres, node:CLH:own:VerbForm=Fin, node:CLH:own:Voice=Act, node:CLH:own:rel_shallow=acl:relcl</t>
  </si>
  <si>
    <t>sent_id: 1700_1749_2444_letter141673 | rules: sentence:meta:period=1700_1749, node:X:own:Voice=Act, node:X:child:VerbForm={'Fin'}, node:CLH:own:Mood=Ind, node:CLH:own:Tense=Pres, node:CLH:own:VerbForm=Fin, node:CLH:own:Voice=Pass, node:CLH:own:rel_shallow=root</t>
  </si>
  <si>
    <t>sent_id: 1700_1749_2448_letter141673 | rules: sentence:meta:period=1700_1749, node:X:own:Voice=Act, node:X:child:Abbr={'Yes'}, node:X:child:Case={'Nom'}, node:X:child:Definite={'Ind'}, node:X:child:Gender={'Com'}, node:X:child:Number={'Sing'}, node:X:child:Foreign={'Yes'}, node:X:child:VerbForm={'Fin'}, node:CLH:own:Mood=Ind, node:CLH:own:Tense=Pres, node:CLH:own:VerbForm=Fin, node:CLH:own:Voice=Act, node:CLH:own:rel_shallow=root</t>
  </si>
  <si>
    <t>sent_id: 1700_1749_2468_letter141673 | rules: sentence:meta:period=1700_1749, node:X:own:Voice=Act, node:X:child:Definite={'Def'}, node:X:child:Gender={'Com', 'Neut'}, node:X:child:Number={'Sing'}, node:X:child:PronType={'Prs'}, node:X:child:VerbForm={'Fin'}, node:X:child:Case={'Nom'}, node:CLH:own:Case=Nom, node:CLH:own:Definite=Ind, node:CLH:own:Gender=Com, node:CLH:own:Number=Sing, node:CLH:own:rel_shallow=root</t>
  </si>
  <si>
    <t>sent_id: 1700_1749_2566_letter141673 | rules: sentence:meta:period=1700_1749, node:X:own:Voice=Act, node:X:child:Case={'Nom'}, node:X:child:Definite={'Def'}, node:X:child:Gender={'Com'}, node:X:child:Number={'Plur'}, node:X:child:NumType={'Card'}, node:X:child:VerbForm={'Fin'}, node:CLH:own:Mood=Ind, node:CLH:own:Tense=Pres, node:CLH:own:VerbForm=Fin, node:CLH:own:Voice=Act, node:CLH:own:rel_shallow=root</t>
  </si>
  <si>
    <t>sent_id: 1700_1749_2607_letter141673 | rules: sentence:meta:period=1700_1749, node:X:own:Voice=Act, node:X:child:VerbForm={'Sup', 'Fin'}, node:X:child:Degree={'Cmp'}, node:X:child:Case={'Nom'}, node:X:child:Definite={'Def'}, node:X:child:Gender={'Com'}, node:X:child:Number={'Sing'}, node:X:child:PronType={'Prs'}, node:CLH:own:VerbForm=Sup, node:CLH:own:Voice=Act, node:CLH:own:rel_shallow=conj</t>
  </si>
  <si>
    <t>sent_id: 1700_1749_2649_letter141673 | rules: sentence:meta:period=1700_1749, node:X:own:Voice=Act, node:X:child:VerbForm={'Inf'}, node:X:child:Case={'Nom', 'Acc'}, node:X:child:Definite={'Def'}, node:X:child:Gender={'Com'}, node:X:child:Number={'Plur', 'Sing'}, node:X:child:PronType={'Prs'}, node:CLH:own:VerbForm=Inf, node:CLH:own:Voice=Act, node:CLH:own:rel_shallow=conj</t>
  </si>
  <si>
    <t>sent_id: 1700_1749_2769_letter141673 | rules: sentence:meta:period=1700_1749, node:X:own:Voice=Act, node:X:child:Degree={'Pos'}, node:X:child:Polarity={'Neg'}, node:X:child:VerbForm={'Fin'}, node:X:child:Case={'Nom'}, node:X:child:Definite={'Def'}, node:X:child:Gender={'Com'}, node:X:child:Number={'Sing'}, node:X:child:PronType={'Prs'}, node:CLH:own:VerbForm=Inf, node:CLH:own:Voice=Act, node:CLH:own:rel_shallow=conj</t>
  </si>
  <si>
    <t>sent_id: 1700_1749_2799_letter141673 | rules: sentence:meta:period=1700_1749, node:X:own:Voice=Act, node:X:child:Definite={'Def'}, node:X:child:Gender={'Neut'}, node:X:child:Number={'Sing'}, node:X:child:PronType={'Dem'}, node:X:child:VerbForm={'Fin'}, node:X:child:Case={'Nom'}, node:CLH:own:Mood=Ind, node:CLH:own:Tense=Past, node:CLH:own:VerbForm=Fin, node:CLH:own:Voice=Act, node:CLH:own:rel_shallow=root</t>
  </si>
  <si>
    <t>sent_id: 1700_1749_499_sec192 | rules: sentence:meta:period=1700_1749, node:X:own:Voice=Act, node:X:child:VerbForm={'Inf'}, node:X:child:Case={'Nom'}, node:X:child:Definite={'Def'}, node:X:child:Gender={'Com'}, node:X:child:Number={'Sing'}, node:X:child:PronType={'Prs'}, node:CLH:own:Case=Nom, node:CLH:own:Definite=Ind, node:CLH:own:Degree=Pos, node:CLH:own:Gender=Neut, node:CLH:own:Number=Sing, node:CLH:own:Tense=Past, node:CLH:own:VerbForm=Part, node:CLH:own:rel_shallow=root</t>
  </si>
  <si>
    <t>sent_id: 1700_1749_1046_sec192 | rules: sentence:meta:period=1700_1749, node:X:own:Voice=Act, node:X:child:Case={'Nom', 'Acc'}, node:X:child:Definite={'Def', 'Ind'}, node:X:child:Degree={'Pos'}, node:X:child:Number={'Plur', 'Sing'}, node:X:child:Gender={'Com'}, node:X:child:PronType={'Prs'}, node:X:child:VerbForm={'Fin'}, node:CLH:own:Case=Nom, node:CLH:own:Definite=Def, node:CLH:own:Gender=Neut, node:CLH:own:Number=Sing, node:CLH:own:rel_shallow=root</t>
  </si>
  <si>
    <t>sent_id: 1700_1749_2674_sec192 | rules: sentence:meta:period=1700_1749, node:X:own:Voice=Act, node:X:child:VerbForm={'Fin', 'Inf'}, node:X:child:Case={'Nom'}, node:X:child:Definite={'Def'}, node:X:child:Gender={'Com'}, node:X:child:Number={'Sing'}, node:X:child:PronType={'Prs'}, node:CLH:own:Mood=Ind, node:CLH:own:Tense=Pres, node:CLH:own:VerbForm=Fin, node:CLH:own:Voice=Act, node:CLH:own:rel_shallow=root</t>
  </si>
  <si>
    <t>sent_id: 1700_1749_2819_sec192 | rules: sentence:meta:period=1700_1749, node:X:own:Voice=Act, node:X:child:VerbForm={'Sup'}, node:X:child:Polarity={'Neg'}, node:CLH:own:Mood=Ind, node:CLH:own:Tense=Pres, node:CLH:own:VerbForm=Fin, node:CLH:own:Voice=Act, node:CLH:own:rel_shallow=root</t>
  </si>
  <si>
    <t>sent_id: 1700_1749_69_sec25 | rules: sentence:meta:period=1700_1749, node:X:own:Voice=Act, node:X:child:Case={'Nom'}, node:X:child:Definite={'Ind'}, node:X:child:Gender={'Neut'}, node:X:child:Number={'Sing'}, node:X:child:VerbForm={'Inf'}, node:CLH:own:VerbForm=Inf, node:CLH:own:Voice=Act, node:CLH:own:rel_shallow=root</t>
  </si>
  <si>
    <t>sent_id: 1700_1749_177_sec25 | rules: sentence:meta:period=1700_1749, node:X:own:Voice=Act, node:X:child:VerbForm={'Fin'}, node:X:child:Case={'Nom'}, node:X:child:Definite={'Def', 'Ind'}, node:X:child:Gender={'Com', 'Neut'}, node:X:child:Number={'Plur', 'Sing'}, node:CLH:own:Case=Nom, node:CLH:own:Definite=Def, node:CLH:own:Gender=Com, node:CLH:own:Number=Sing, node:CLH:own:rel_shallow=obl</t>
  </si>
  <si>
    <t>sent_id: 1700_1749_196_sec25 | rules: sentence:meta:period=1700_1749, node:X:own:Voice=Act, node:X:child:Case={'Nom', 'Acc'}, node:X:child:Definite={'Def', 'Ind'}, node:X:child:Degree={'Pos'}, node:X:child:Gender={'Com', 'Neut'}, node:X:child:Number={'Sing'}, node:X:child:PronType={'Prs'}, node:X:child:VerbForm={'Fin'}, node:CLH:own:Case=Nom, node:CLH:own:Definite=Ind, node:CLH:own:Gender=Neut, node:CLH:own:Number=Sing, node:CLH:own:rel_shallow=root</t>
  </si>
  <si>
    <t>sent_id: 1700_1749_205_sec25 | rules: sentence:meta:period=1700_1749, node:X:own:Voice=Act, node:X:child:Case={'Nom'}, node:X:child:Definite={'Ind'}, node:X:child:Gender={'Com'}, node:X:child:Number={'Plur', 'Sing'}, node:X:child:VerbForm={'Sup', 'Fin', 'Inf'}, node:X:child:PronType={'Ind'}, node:CLH:own:Case=Nom, node:CLH:own:Definite=Def, node:CLH:own:Gender=Com, node:CLH:own:Number=Sing, node:CLH:own:rel_shallow=obj</t>
  </si>
  <si>
    <t>sent_id: 1700_1749_286_sec25 | rules: sentence:meta:period=1700_1749, node:X:own:Voice=Act, node:X:child:VerbForm={'Fin'}, node:X:child:Case={'Nom'}, node:X:child:Definite={'Def', 'Ind'}, node:X:child:Gender={'Com'}, node:X:child:Number={'Sing'}, node:X:child:PronType={'Prs'}, node:CLH:own:Mood=Ind, node:CLH:own:Tense=Past, node:CLH:own:VerbForm=Fin, node:CLH:own:Voice=Act, node:CLH:own:rel_shallow=root</t>
  </si>
  <si>
    <t>sent_id: 1700_1749_361_sec25 | rules: sentence:meta:period=1700_1749, node:X:own:Voice=Act, node:X:child:Case={'Nom'}, node:X:child:Definite={'Ind'}, node:X:child:Gender={'Com', 'Neut'}, node:X:child:Number={'Plur', 'Sing'}, node:X:child:VerbForm={'Fin'}, node:CLH:own:VerbForm=Inf, node:CLH:own:Voice=Act, node:CLH:own:rel_shallow=root</t>
  </si>
  <si>
    <t>sent_id: 1700_1749_363_sec25 | rules: sentence:meta:period=1700_1749, node:X:own:Voice=Act, node:X:child:VerbForm={'Fin', 'Inf'}, node:X:child:Case={'Nom'}, node:X:child:Definite={'Ind'}, node:X:child:Gender={'Com'}, node:X:child:Number={'Sing'}, node:CLH:own:Case=Nom, node:CLH:own:Definite=Ind, node:CLH:own:Gender=Com, node:CLH:own:Number=Sing, node:CLH:own:rel_shallow=obl</t>
  </si>
  <si>
    <t>sent_id: 1700_1749_370_sec25 | rules: sentence:meta:period=1700_1749, node:X:own:Voice=Act, node:X:child:Case={'Nom', 'Acc'}, node:X:child:Definite={'Def', 'Ind'}, node:X:child:Gender={'Com', 'Neut'}, node:X:child:Number={'Sing'}, node:X:child:PronType={'Prs'}, node:X:child:VerbForm={'Fin', 'Inf'}, node:CLH:own:Case=Nom, node:CLH:own:Definite=Ind, node:CLH:own:Gender=Com, node:CLH:own:Number=Sing, node:CLH:own:rel_shallow=root</t>
  </si>
  <si>
    <t>sent_id: 1700_1749_398_sec25 | rules: sentence:meta:period=1700_1749, node:X:own:Voice=Act, node:X:child:Case={'Nom'}, node:X:child:Definite={'Def', 'Ind'}, node:X:child:Gender={'Com'}, node:X:child:Number={'Sing'}, node:X:child:VerbForm={'Fin'}, node:X:child:PronType={'Prs'}, node:CLH:own:VerbForm=Inf, node:CLH:own:Voice=Act, node:CLH:own:rel_shallow=conj</t>
  </si>
  <si>
    <t>sent_id: 1700_1749_423_sec25 | rules: sentence:meta:period=1700_1749, node:X:own:Voice=Act, node:X:child:Case={'Nom'}, node:X:child:Definite={'Def', 'Ind'}, node:X:child:Gender={'Com'}, node:X:child:Number={'Sing'}, node:X:child:VerbForm={'Fin'}, node:X:child:PronType={'Prs'}, node:X:child:Degree={'Pos'}, node:CLH:own:Mood=Ind, node:CLH:own:Tense=Past, node:CLH:own:VerbForm=Fin, node:CLH:own:Voice=Act, node:CLH:own:rel_shallow=root</t>
  </si>
  <si>
    <t>sent_id: 1700_1749_428_sec25 | rules: sentence:meta:period=1700_1749, node:X:own:Voice=Act, node:X:child:VerbForm={'Fin', 'Inf'}, node:X:child:Case={'Nom'}, node:CLH:own:VerbForm=Inf, node:CLH:own:Voice=Act, node:CLH:own:rel_shallow=root</t>
  </si>
  <si>
    <t>sent_id: 1700_1749_436_sec25 | rules: sentence:meta:period=1700_1749, node:X:own:Voice=Act, node:X:child:Case={'Nom'}, node:X:child:Definite={'Def', 'Ind'}, node:X:child:Gender={'Com'}, node:X:child:Number={'Sing'}, node:X:child:VerbForm={'Fin'}, node:X:child:PronType={'Prs'}, node:CLH:own:Mood=Ind, node:CLH:own:Tense=Pres, node:CLH:own:VerbForm=Fin, node:CLH:own:Voice=Act, node:CLH:own:rel_shallow=root</t>
  </si>
  <si>
    <t>sent_id: 1700_1749_441_sec25 | rules: sentence:meta:period=1700_1749, node:X:own:Voice=Act, node:X:child:VerbForm={'Fin'}, node:X:child:Case={'Nom'}, node:X:child:Definite={'Def'}, node:X:child:Gender={'Com'}, node:X:child:Number={'Sing'}, node:X:child:PronType={'Prs'}, node:CLH:own:VerbForm=Inf, node:CLH:own:Voice=Act, node:CLH:own:rel_shallow=conj</t>
  </si>
  <si>
    <t>sent_id: 1700_1749_463_sec25 | rules: sentence:meta:period=1700_1749, node:X:own:Voice=Act, node:X:child:VerbForm={'Fin'}, node:X:child:Case={'Nom'}, node:X:child:Definite={'Def', 'Ind'}, node:X:child:Gender={'Com', 'Neut'}, node:X:child:Number={'Sing'}, node:X:child:PronType={'Prs'}, node:CLH:own:Mood=Ind, node:CLH:own:Tense=Past, node:CLH:own:VerbForm=Fin, node:CLH:own:Voice=Act, node:CLH:own:rel_shallow=root</t>
  </si>
  <si>
    <t>sent_id: 1700_1749_481_sec25 | rules: sentence:meta:period=1700_1749, node:X:own:Voice=Act, node:X:child:Polarity={'Neg'}, node:X:child:Case={'Nom'}, node:X:child:Definite={'Def'}, node:X:child:Gender={'Com', 'Neut'}, node:X:child:Number={'Sing'}, node:X:child:VerbForm={'Fin', 'Inf'}, node:CLH:own:Mood=Ind, node:CLH:own:Tense=Past, node:CLH:own:VerbForm=Fin, node:CLH:own:Voice=Act, node:CLH:own:rel_shallow=acl:relcl</t>
  </si>
  <si>
    <t>sent_id: 1700_1749_519_sec25 | rules: sentence:meta:period=1700_1749, node:X:own:Voice=Act, node:X:child:Polarity={'Neg'}, node:X:child:Case={'Nom', 'Acc'}, node:X:child:Definite={'Def', 'Ind'}, node:X:child:Gender={'Com', 'Neut'}, node:X:child:Number={'Sing'}, node:X:child:PronType={'Prs', 'Dem'}, node:X:child:VerbForm={'Fin'}, node:CLH:own:VerbForm=Inf, node:CLH:own:Voice=Act, node:CLH:own:rel_shallow=xcomp</t>
  </si>
  <si>
    <t>sent_id: 1700_1749_522_sec25 | rules: sentence:meta:period=1700_1749, node:X:own:Voice=Act, node:X:child:VerbForm={'Fin'}, node:X:child:Degree={'Pos'}, node:X:child:Polarity={'Neg'}, node:X:child:Definite={'Def'}, node:X:child:Gender={'Neut'}, node:X:child:Number={'Sing'}, node:X:child:PronType={'Prs'}, node:CLH:own:Mood=Ind, node:CLH:own:Tense=Past, node:CLH:own:VerbForm=Fin, node:CLH:own:Voice=Act, node:CLH:own:rel_shallow=root</t>
  </si>
  <si>
    <t>sent_id: 1700_1749_537_sec25 | rules: sentence:meta:period=1700_1749, node:X:own:Voice=Act, node:X:child:VerbForm={'Sup', 'Fin'}, node:X:child:Polarity={'Neg'}, node:X:child:Case={'Nom'}, node:X:child:Definite={'Def'}, node:X:child:Gender={'Com'}, node:X:child:Number={'Sing'}, node:X:child:PronType={'Prs'}, node:CLH:own:Mood=Ind, node:CLH:own:Tense=Past, node:CLH:own:VerbForm=Fin, node:CLH:own:Voice=Act, node:CLH:own:rel_shallow=conj</t>
  </si>
  <si>
    <t>sent_id: 1700_1749_540_sec25 | rules: sentence:meta:period=1700_1749, node:X:own:Voice=Act, node:X:child:Case={'Nom'}, node:X:child:Definite={'Def', 'Ind'}, node:X:child:Gender={'Com'}, node:X:child:Number={'Sing'}, node:X:child:VerbForm={'Fin'}, node:X:child:PronType={'Prs'}, node:X:child:Degree={'Pos'}, node:CLH:own:Mood=Ind, node:CLH:own:Tense=Past, node:CLH:own:VerbForm=Fin, node:CLH:own:Voice=Act, node:CLH:own:rel_shallow=ccomp</t>
  </si>
  <si>
    <t>sent_id: 1700_1749_546_sec25 | rules: sentence:meta:period=1700_1749, node:X:own:Voice=Act, node:X:child:Case={'Nom'}, node:X:child:Definite={'Def', 'Ind'}, node:X:child:Gender={'Com'}, node:X:child:Number={'Sing'}, node:X:child:VerbForm={'Fin'}, node:X:child:PronType={'Prs'}, node:CLH:own:Mood=Ind, node:CLH:own:Tense=Past, node:CLH:own:VerbForm=Fin, node:CLH:own:Voice=Act, node:CLH:own:rel_shallow=conj</t>
  </si>
  <si>
    <t>sent_id: 1700_1749_566_sec25 | rules: sentence:meta:period=1700_1749, node:X:own:Voice=Act, node:X:child:VerbForm={'Sup', 'Fin'}, node:X:child:Case={'Nom'}, node:X:child:Definite={'Def', 'Ind'}, node:X:child:Gender={'Com', 'Neut'}, node:X:child:Number={'Sing'}, node:X:child:PronType={'Prs'}, node:CLH:own:VerbForm=Sup, node:CLH:own:Voice=Act, node:CLH:own:rel_shallow=xcomp</t>
  </si>
  <si>
    <t>sent_id: 1700_1749_599_sec25 | rules: sentence:meta:period=1700_1749, node:X:own:Voice=Act, node:X:child:VerbForm={'Fin', 'Inf'}, node:X:child:Case={'Nom'}, node:X:child:Definite={'Def', 'Ind'}, node:X:child:Gender={'Com'}, node:X:child:Number={'Sing'}, node:X:child:Polarity={'Neg'}, node:X:child:PronType={'Prs'}, node:CLH:own:Mood=Ind, node:CLH:own:Tense=Past, node:CLH:own:VerbForm=Fin, node:CLH:own:Voice=Act, node:CLH:own:rel_shallow=conj</t>
  </si>
  <si>
    <t>sent_id: 1700_1749_601_sec25 | rules: sentence:meta:period=1700_1749, node:X:own:Voice=Act, node:X:child:Case={'Nom', 'Acc'}, node:X:child:Definite={'Def', 'Ind'}, node:X:child:Gender={'Com'}, node:X:child:Number={'Sing'}, node:X:child:PronType={'Prs'}, node:X:child:VerbForm={'Fin'}, node:CLH:own:Mood=Ind, node:CLH:own:Tense=Past, node:CLH:own:VerbForm=Fin, node:CLH:own:Voice=Act, node:CLH:own:rel_shallow=conj</t>
  </si>
  <si>
    <t>sent_id: 1700_1749_606_sec25 | rules: sentence:meta:period=1700_1749, node:X:own:Voice=Act, node:X:child:Case={'Nom', 'Acc'}, node:X:child:Definite={'Def', 'Ind'}, node:X:child:Gender={'Com'}, node:X:child:Number={'Sing'}, node:X:child:PronType={'Prs', 'Ind'}, node:X:child:VerbForm={'Fin'}, node:X:child:Polarity={'Neg'}, node:CLH:own:VerbForm=Sup, node:CLH:own:Voice=Pass, node:CLH:own:rel_shallow=xcomp</t>
  </si>
  <si>
    <t>sent_id: 1700_1749_608_sec25 | rules: sentence:meta:period=1700_1749, node:X:own:Voice=Act, node:X:child:VerbForm={'Fin', 'Inf'}, node:X:child:Case={'Nom', 'Acc'}, node:X:child:Definite={'Def', 'Ind'}, node:X:child:Gender={'Com'}, node:X:child:Number={'Sing'}, node:X:child:PronType={'Prs'}, node:CLH:own:Mood=Ind, node:CLH:own:Tense=Past, node:CLH:own:VerbForm=Fin, node:CLH:own:Voice=Act, node:CLH:own:rel_shallow=root</t>
  </si>
  <si>
    <t>sent_id: 1700_1749_617_sec25 | rules: sentence:meta:period=1700_1749, node:X:own:Voice=Act, node:X:child:VerbForm={'Fin'}, node:X:child:Case={'Nom', 'Acc'}, node:X:child:Definite={'Def'}, node:X:child:PronType={'Prs'}, node:CLH:own:VerbForm=Inf, node:CLH:own:Voice=Act, node:CLH:own:rel_shallow=parataxis</t>
  </si>
  <si>
    <t>sent_id: 1700_1749_627_sec25 | rules: sentence:meta:period=1700_1749, node:X:own:Voice=Act, node:X:child:VerbForm={'Fin'}, node:X:child:Case={'Nom'}, node:X:child:Definite={'Def', 'Ind'}, node:X:child:Gender={'Com'}, node:X:child:Number={'Sing'}, node:X:child:PronType={'Prs'}, node:CLH:own:Mood=Ind, node:CLH:own:Tense=Past, node:CLH:own:VerbForm=Fin, node:CLH:own:Voice=Act, node:CLH:own:rel_shallow=conj</t>
  </si>
  <si>
    <t>sent_id: 1700_1749_629_sec25 | rules: sentence:meta:period=1700_1749, node:X:own:Voice=Act, node:X:child:Case={'Nom'}, node:X:child:Definite={'Def'}, node:X:child:Gender={'Com'}, node:X:child:Number={'Sing'}, node:X:child:VerbForm={'Fin'}, node:X:child:PronType={'Prs'}, node:CLH:own:VerbForm=Inf, node:CLH:own:Voice=Act, node:CLH:own:rel_shallow=acl</t>
  </si>
  <si>
    <t>sent_id: 1700_1749_630_sec25 | rules: sentence:meta:period=1700_1749, node:X:own:Voice=Act, node:X:child:Case={'Nom'}, node:X:child:Definite={'Def'}, node:X:child:Gender={'Com', 'Neut'}, node:X:child:Number={'Sing'}, node:X:child:VerbForm={'Fin'}, node:X:child:PronType={'Prs'}, node:CLH:own:VerbForm=Inf, node:CLH:own:Voice=Act, node:CLH:own:rel_shallow=ccomp</t>
  </si>
  <si>
    <t>sent_id: 1700_1749_633_sec25 | rules: sentence:meta:period=1700_1749, node:X:own:Voice=Act, node:X:child:VerbForm={'Sup', 'Fin', 'Inf'}, node:X:child:Case={'Nom'}, node:X:child:Definite={'Def', 'Ind'}, node:X:child:Gender={'Com'}, node:X:child:Number={'Sing'}, node:X:child:PronType={'Prs'}, node:CLH:own:Mood=Sub, node:CLH:own:Tense=Past, node:CLH:own:VerbForm=Fin, node:CLH:own:Voice=Act, node:CLH:own:rel_shallow=root</t>
  </si>
  <si>
    <t>sent_id: 1700_1749_633_sec25 | rules: sentence:meta:period=1700_1749, node:X:own:Voice=Act, node:X:child:VerbForm={'Fin', 'Inf'}, node:X:child:Case={'Nom'}, node:X:child:Definite={'Ind'}, node:X:child:Gender={'Neut'}, node:X:child:Number={'Sing'}, node:CLH:own:VerbForm=Sup, node:CLH:own:Voice=Act, node:CLH:own:rel_shallow=ccomp</t>
  </si>
  <si>
    <t>sent_id: 1700_1749_633_sec25 | rules: sentence:meta:period=1700_1749, node:X:own:Voice=Act, node:X:child:VerbForm={'Fin'}, node:X:child:Case={'Nom'}, node:X:child:Definite={'Def', 'Ind'}, node:X:child:Gender={'Com', 'Neut'}, node:X:child:Number={'Sing'}, node:X:child:PronType={'Prs'}, node:CLH:own:Mood=Ind, node:CLH:own:Tense=Past, node:CLH:own:VerbForm=Fin, node:CLH:own:Voice=Act, node:CLH:own:rel_shallow=parataxis</t>
  </si>
  <si>
    <t>sent_id: 1700_1749_637_sec25 | rules: sentence:meta:period=1700_1749, node:X:own:Voice=Act, node:X:child:VerbForm={'Fin', 'Inf'}, node:X:child:Case={'Nom'}, node:X:child:Definite={'Def', 'Ind'}, node:X:child:Gender={'Com'}, node:X:child:Number={'Sing'}, node:X:child:PronType={'Ind'}, node:CLH:own:VerbForm=Inf, node:CLH:own:Voice=Act, node:CLH:own:rel_shallow=advcl</t>
  </si>
  <si>
    <t>sent_id: 1700_1749_638_sec25 | rules: sentence:meta:period=1700_1749, node:X:own:Voice=Act, node:X:child:VerbForm={'Fin'}, node:X:child:Case={'Nom'}, node:CLH:own:Mood=Ind, node:CLH:own:Tense=Past, node:CLH:own:VerbForm=Fin, node:CLH:own:Voice=Act, node:CLH:own:rel_shallow=root</t>
  </si>
  <si>
    <t>sent_id: 1700_1749_655_sec25 | rules: sentence:meta:period=1700_1749, node:X:own:Voice=Act, node:X:child:VerbForm={'Sup', 'Fin'}, node:X:child:Case={'Nom'}, node:X:child:Definite={'Ind'}, node:X:child:Gender={'Neut'}, node:X:child:Number={'Sing'}, node:CLH:own:VerbForm=Inf, node:CLH:own:Voice=Act, node:CLH:own:rel_shallow=xcomp</t>
  </si>
  <si>
    <t>sent_id: 1700_1749_661_sec25 | rules: sentence:meta:period=1700_1749, node:X:own:Voice=Act, node:X:child:VerbForm={'Sup', 'Fin'}, node:X:child:Case={'Nom', 'Acc'}, node:X:child:Definite={'Def', 'Ind'}, node:X:child:Gender={'Com', 'Neut'}, node:X:child:Number={'Sing'}, node:X:child:PronType={'Prs'}, node:CLH:own:Mood=Ind, node:CLH:own:Tense=Past, node:CLH:own:VerbForm=Fin, node:CLH:own:Voice=Act, node:CLH:own:rel_shallow=advcl</t>
  </si>
  <si>
    <t>sent_id: 1700_1749_680_sec25 | rules: sentence:meta:period=1700_1749, node:X:own:Voice=Act, node:X:child:Case={'Nom'}, node:X:child:Definite={'Def', 'Ind'}, node:X:child:Gender={'Com'}, node:X:child:Number={'Sing'}, node:X:child:VerbForm={'Fin'}, node:X:child:PronType={'Prs'}, node:CLH:own:Mood=Ind, node:CLH:own:Tense=Past, node:CLH:own:VerbForm=Fin, node:CLH:own:Voice=Act, node:CLH:own:rel_shallow=advcl</t>
  </si>
  <si>
    <t>sent_id: 1700_1749_684_sec25 | rules: sentence:meta:period=1700_1749, node:X:own:Voice=Act, node:X:child:Case={'Nom', 'Acc'}, node:X:child:Definite={'Def'}, node:X:child:Gender={'Com'}, node:X:child:Number={'Sing'}, node:X:child:PronType={'Prs'}, node:X:child:VerbForm={'Fin'}, node:CLH:own:Mood=Ind, node:CLH:own:Tense=Past, node:CLH:own:VerbForm=Fin, node:CLH:own:Voice=Act, node:CLH:own:rel_shallow=ccomp</t>
  </si>
  <si>
    <t>sent_id: 1700_1749_686_sec25 | rules: sentence:meta:period=1700_1749, node:X:own:Voice=Act, node:X:child:VerbForm={'Fin', 'Inf'}, node:X:child:Case={'Nom'}, node:X:child:Definite={'Def', 'Ind'}, node:X:child:Gender={'Com', 'Neut'}, node:X:child:Number={'Sing'}, node:X:child:Degree={'Pos'}, node:X:child:PronType={'Prs'}, node:CLH:own:VerbForm=Sup, node:CLH:own:Voice=Act, node:CLH:own:rel_shallow=conj</t>
  </si>
  <si>
    <t>sent_id: 1700_1749_696_sec25 | rules: sentence:meta:period=1700_1749, node:X:own:Voice=Act, node:X:child:VerbForm={'Fin'}, node:X:child:Case={'Nom'}, node:X:child:Definite={'Ind'}, node:X:child:Gender={'Com'}, node:X:child:Number={'Sing'}, node:CLH:own:Case=Nom, node:CLH:own:rel_shallow=conj</t>
  </si>
  <si>
    <t>sent_id: 1700_1749_723_sec25 | rules: sentence:meta:period=1700_1749, node:X:own:Voice=Act, node:X:child:VerbForm={'Fin'}, node:X:child:Degree={'Sup'}, node:X:child:Case={'Nom'}, node:X:child:Definite={'Def'}, node:X:child:Number={'Plur'}, node:X:child:PronType={'Prs'}, node:CLH:own:VerbForm=Sup, node:CLH:own:Voice=Act, node:CLH:own:rel_shallow=acl:relcl</t>
  </si>
  <si>
    <t>sent_id: 1700_1749_724_sec25 | rules: sentence:meta:period=1700_1749, node:X:own:Voice=Act, node:X:child:VerbForm={'Fin', 'Inf'}, node:X:child:Case={'Nom', 'Acc'}, node:X:child:Definite={'Def'}, node:X:child:Gender={'Com'}, node:X:child:Number={'Sing'}, node:X:child:PronType={'Prs'}, node:CLH:own:VerbForm=Sup, node:CLH:own:Voice=Act, node:CLH:own:rel_shallow=root</t>
  </si>
  <si>
    <t>sent_id: 1700_1749_731_sec25 | rules: sentence:meta:period=1700_1749, node:X:own:Voice=Act, node:X:child:Case={'Nom', 'Acc'}, node:X:child:Definite={'Def', 'Ind'}, node:X:child:Gender={'Com'}, node:X:child:Number={'Sing'}, node:X:child:Degree={'Pos'}, node:X:child:PronType={'Prs'}, node:X:child:VerbForm={'Fin'}, node:X:child:Polarity={'Neg'}, node:CLH:own:Mood=Ind, node:CLH:own:Tense=Past, node:CLH:own:VerbForm=Fin, node:CLH:own:Voice=Act, node:CLH:own:rel_shallow=root</t>
  </si>
  <si>
    <t>sent_id: 1700_1749_760_sec25 | rules: sentence:meta:period=1700_1749, node:X:own:Voice=Act, node:X:child:Case={'Nom'}, node:X:child:Definite={'Def', 'Ind'}, node:X:child:Gender={'Com'}, node:X:child:Number={'Sing'}, node:X:child:VerbForm={'Fin'}, node:X:child:PronType={'Prs'}, node:X:child:Degree={'Pos'}, node:CLH:own:Case=Nom, node:CLH:own:Definite=Ind, node:CLH:own:Degree=Pos, node:CLH:own:Gender=Com, node:CLH:own:Number=Sing, node:CLH:own:Tense=Past, node:CLH:own:VerbForm=Part, node:CLH:own:rel_shallow=acl</t>
  </si>
  <si>
    <t>sent_id: 1700_1749_765_sec25 | rules: sentence:meta:period=1700_1749, node:X:own:Voice=Act, node:X:child:Case={'Nom'}, node:X:child:VerbForm={'Fin'}, node:X:child:Definite={'Def'}, node:X:child:Gender={'Com'}, node:X:child:Number={'Sing'}, node:X:child:PronType={'Prs'}, node:CLH:own:Mood=Ind, node:CLH:own:Tense=Past, node:CLH:own:VerbForm=Fin, node:CLH:own:Voice=Act, node:CLH:own:rel_shallow=acl:relcl</t>
  </si>
  <si>
    <t>sent_id: 1700_1749_775_sec25 | rules: sentence:meta:period=1700_1749, node:X:own:Voice=Act, node:X:child:VerbForm={'Fin', 'Inf'}, node:X:child:Case={'Nom'}, node:CLH:own:Case=Nom, node:CLH:own:Definite=Ind, node:CLH:own:Gender=Com, node:CLH:own:Number=Sing, node:CLH:own:rel_shallow=obl</t>
  </si>
  <si>
    <t>sent_id: 1700_1749_775_sec25 | rules: sentence:meta:period=1700_1749, node:X:own:Voice=Act, node:X:child:VerbForm={'Fin'}, node:X:child:Case={'Nom'}, node:X:child:Definite={'Def', 'Ind'}, node:X:child:Gender={'Com'}, node:X:child:Number={'Sing'}, node:CLH:own:Mood=Ind, node:CLH:own:Tense=Past, node:CLH:own:VerbForm=Fin, node:CLH:own:Voice=Act, node:CLH:own:rel_shallow=root</t>
  </si>
  <si>
    <t>sent_id: 1700_1749_775_sec25 | rules: sentence:meta:period=1700_1749, node:X:own:Voice=Act, node:X:child:Case={'Nom', 'Acc'}, node:X:child:Definite={'Def', 'Ind'}, node:X:child:Gender={'Com'}, node:X:child:Number={'Sing'}, node:X:child:PronType={'Prs'}, node:X:child:VerbForm={'Fin'}, node:CLH:own:Mood=Ind, node:CLH:own:Tense=Past, node:CLH:own:VerbForm=Fin, node:CLH:own:Voice=Act, node:CLH:own:rel_shallow=advcl</t>
  </si>
  <si>
    <t>sent_id: 1700_1749_782_sec25 | rules: sentence:meta:period=1700_1749, node:X:own:Voice=Act, node:X:child:VerbForm={'Sup', 'Fin'}, node:X:child:Case={'Nom'}, node:X:child:Definite={'Def', 'Ind'}, node:X:child:Gender={'Com'}, node:X:child:Number={'Sing'}, node:X:child:PronType={'Prs'}, node:CLH:own:Mood=Ind, node:CLH:own:Tense=Past, node:CLH:own:VerbForm=Fin, node:CLH:own:Voice=Act, node:CLH:own:rel_shallow=parataxis</t>
  </si>
  <si>
    <t>sent_id: 1700_1749_782_sec25 | rules: sentence:meta:period=1700_1749, node:X:own:Voice=Act, node:X:child:VerbForm={'Fin', 'Inf'}, node:X:child:Case={'Nom', 'Acc'}, node:X:child:Definite={'Def', 'Ind'}, node:X:child:PronType={'Prs'}, node:X:child:Gender={'Com'}, node:X:child:Number={'Sing'}, node:CLH:own:VerbForm=Sup, node:CLH:own:Voice=Act, node:CLH:own:rel_shallow=advcl</t>
  </si>
  <si>
    <t>sent_id: 1700_1749_791_sec25 | rules: sentence:meta:period=1700_1749, node:X:own:Voice=Act, node:X:child:Case={'Nom', 'Acc'}, node:X:child:Definite={'Def'}, node:X:child:PronType={'Prs'}, node:X:child:VerbForm={'Fin'}, node:X:child:Degree={'Pos'}, node:CLH:own:Mood=Ind, node:CLH:own:Tense=Past, node:CLH:own:VerbForm=Fin, node:CLH:own:Voice=Act, node:CLH:own:rel_shallow=root</t>
  </si>
  <si>
    <t>sent_id: 1700_1749_797_sec25 | rules: sentence:meta:period=1700_1749, node:X:own:Voice=Act, node:X:child:VerbForm={'Fin', 'Inf'}, node:X:child:Case={'Nom', 'Acc'}, node:X:child:Definite={'Def'}, node:X:child:Number={'Plur'}, node:X:child:PronType={'Prs'}, node:X:child:Gender={'Com'}, node:CLH:own:VerbForm=Inf, node:CLH:own:Voice=Act, node:CLH:own:rel_shallow=root</t>
  </si>
  <si>
    <t>sent_id: 1700_1749_800_sec25 | rules: sentence:meta:period=1700_1749, node:X:own:Voice=Act, node:X:child:VerbForm={'Fin'}, node:X:child:Case={'Nom'}, node:X:child:Definite={'Def'}, node:X:child:Gender={'Com'}, node:X:child:Number={'Sing'}, node:CLH:own:Mood=Ind, node:CLH:own:Tense=Past, node:CLH:own:VerbForm=Fin, node:CLH:own:Voice=Act, node:CLH:own:rel_shallow=root</t>
  </si>
  <si>
    <t>sent_id: 1700_1749_807_sec25 | rules: sentence:meta:period=1700_1749, node:X:own:Voice=Act, node:X:child:Case={'Nom'}, node:X:child:Definite={'Ind'}, node:X:child:Gender={'Com'}, node:X:child:Number={'Sing'}, node:X:child:VerbForm={'Fin'}, node:CLH:own:Mood=Ind, node:CLH:own:Tense=Past, node:CLH:own:VerbForm=Fin, node:CLH:own:Voice=Pass, node:CLH:own:rel_shallow=root</t>
  </si>
  <si>
    <t>sent_id: 1700_1749_807_sec25 | rules: sentence:meta:period=1700_1749, node:X:own:Voice=Act, node:X:child:VerbForm={'Fin'}, node:X:child:Case={'Nom'}, node:X:child:Definite={'Def', 'Ind'}, node:X:child:Gender={'Com'}, node:X:child:Number={'Sing'}, node:X:child:PronType={'Prs'}, node:CLH:own:Mood=Ind, node:CLH:own:Tense=Past, node:CLH:own:VerbForm=Fin, node:CLH:own:Voice=Act, node:CLH:own:rel_shallow=conj</t>
  </si>
  <si>
    <t>sent_id: 1700_1749_830_sec25 | rules: sentence:meta:period=1700_1749, node:X:own:Voice=Act, node:X:child:Case={'Nom'}, node:X:child:VerbForm={'Fin'}, node:X:child:Definite={'Def'}, node:X:child:Gender={'Neut'}, node:X:child:Number={'Sing'}, node:X:child:PronType={'Prs'}, node:CLH:own:VerbForm=Sup, node:CLH:own:Voice=Act, node:CLH:own:rel_shallow=acl:relcl</t>
  </si>
  <si>
    <t>sent_id: 1700_1749_831_sec25 | rules: sentence:meta:period=1700_1749, node:X:own:Voice=Act, node:X:child:Case={'Nom'}, node:X:child:Definite={'Def', 'Ind'}, node:X:child:Gender={'Com', 'Neut'}, node:X:child:Number={'Sing'}, node:X:child:VerbForm={'Fin'}, node:X:child:PronType={'Prs'}, node:CLH:own:Mood=Ind, node:CLH:own:Tense=Past, node:CLH:own:VerbForm=Fin, node:CLH:own:Voice=Act, node:CLH:own:rel_shallow=acl:relcl</t>
  </si>
  <si>
    <t>sent_id: 1700_1749_856_sec25 | rules: sentence:meta:period=1700_1749, node:X:own:Voice=Act, node:X:child:VerbForm={'Fin', 'Inf'}, node:X:child:Case={'Nom'}, node:X:child:Definite={'Def', 'Ind'}, node:X:child:Gender={'Com'}, node:X:child:Number={'Sing'}, node:CLH:own:Mood=Ind, node:CLH:own:Tense=Past, node:CLH:own:VerbForm=Fin, node:CLH:own:Voice=Act, node:CLH:own:rel_shallow=advcl</t>
  </si>
  <si>
    <t>sent_id: 1700_1749_856_sec25 | rules: sentence:meta:period=1700_1749, node:X:own:Voice=Act, node:X:child:Case={'Nom'}, node:X:child:Definite={'Def'}, node:X:child:Gender={'Com', 'Neut'}, node:X:child:Number={'Sing'}, node:X:child:PronType={'Prs'}, node:X:child:VerbForm={'Fin'}, node:CLH:own:Mood=Ind, node:CLH:own:Tense=Past, node:CLH:own:VerbForm=Fin, node:CLH:own:Voice=Act, node:CLH:own:rel_shallow=conj</t>
  </si>
  <si>
    <t>sent_id: 1700_1749_857_sec25 | rules: sentence:meta:period=1700_1749, node:X:own:Voice=Act, node:X:child:VerbForm={'Sup', 'Fin'}, node:X:child:Case={'Nom'}, node:X:child:Definite={'Ind'}, node:X:child:Gender={'Com'}, node:X:child:Number={'Sing'}, node:CLH:own:Case=Nom, node:CLH:own:Definite=Ind, node:CLH:own:Gender=Com, node:CLH:own:Number=Sing, node:CLH:own:rel_shallow=obj</t>
  </si>
  <si>
    <t>sent_id: 1700_1749_871_sec25 | rules: sentence:meta:period=1700_1749, node:X:own:Voice=Act, node:X:child:VerbForm={'Fin', 'Inf'}, node:X:child:Case={'Nom', 'Acc'}, node:X:child:Definite={'Def'}, node:X:child:PronType={'Prs'}, node:CLH:own:Mood=Ind, node:CLH:own:Tense=Past, node:CLH:own:VerbForm=Fin, node:CLH:own:Voice=Act, node:CLH:own:rel_shallow=root</t>
  </si>
  <si>
    <t>sent_id: 1700_1749_877_sec25 | rules: sentence:meta:period=1700_1749, node:X:own:Voice=Act, node:X:child:VerbForm={'Fin'}, node:X:child:Case={'Nom'}, node:CLH:own:VerbForm=Inf, node:CLH:own:Voice=Act, node:CLH:own:rel_shallow=root</t>
  </si>
  <si>
    <t>sent_id: 1700_1749_898_sec25 | rules: sentence:meta:period=1700_1749, node:X:own:Voice=Act, node:X:child:VerbForm={'Sup', 'Fin'}, node:X:child:Case={'Nom', 'Acc'}, node:X:child:Definite={'Def', 'Ind'}, node:X:child:Gender={'Com', 'Neut'}, node:X:child:Number={'Sing'}, node:X:child:PronType={'Prs'}, node:CLH:own:Mood=Sub, node:CLH:own:Tense=Past, node:CLH:own:VerbForm=Fin, node:CLH:own:Voice=Act, node:CLH:own:rel_shallow=ccomp</t>
  </si>
  <si>
    <t>sent_id: 1700_1749_901_sec25 | rules: sentence:meta:period=1700_1749, node:X:own:Voice=Act, node:X:child:Case={'Nom'}, node:X:child:Definite={'Def', 'Ind'}, node:X:child:Gender={'Com'}, node:X:child:Number={'Plur', 'Sing'}, node:X:child:VerbForm={'Fin'}, node:CLH:own:Mood=Ind, node:CLH:own:Tense=Past, node:CLH:own:VerbForm=Fin, node:CLH:own:Voice=Act, node:CLH:own:rel_shallow=root</t>
  </si>
  <si>
    <t>sent_id: 1700_1749_927_sec25 | rules: sentence:meta:period=1700_1749, node:X:own:Voice=Act, node:X:child:VerbForm={'Fin', 'Inf'}, node:X:child:Case={'Nom'}, node:X:child:Definite={'Def'}, node:X:child:Gender={'Com'}, node:X:child:Number={'Sing'}, node:X:child:PronType={'Prs'}, node:CLH:own:Mood=Ind, node:CLH:own:Tense=Past, node:CLH:own:VerbForm=Fin, node:CLH:own:Voice=Act, node:CLH:own:rel_shallow=acl:relcl</t>
  </si>
  <si>
    <t>sent_id: 1700_1749_928_sec25 | rules: sentence:meta:period=1700_1749, node:X:own:Voice=Act, node:X:child:Case={'Nom'}, node:X:child:Definite={'Ind'}, node:X:child:Gender={'Com'}, node:X:child:Number={'Sing'}, node:X:child:VerbForm={'Fin'}, node:CLH:own:VerbForm=Sup, node:CLH:own:Voice=Act, node:CLH:own:rel_shallow=conj</t>
  </si>
  <si>
    <t>sent_id: 1700_1749_930_sec25 | rules: sentence:meta:period=1700_1749, node:X:own:Voice=Act, node:X:child:Case={'Nom'}, node:X:child:Definite={'Def', 'Ind'}, node:X:child:Degree={'Pos'}, node:X:child:Number={'Plur'}, node:X:child:VerbForm={'Fin'}, node:X:child:PronType={'Prs'}, node:CLH:own:Case=Nom, node:CLH:own:Definite=Ind, node:CLH:own:Gender=Com, node:CLH:own:Number=Sing, node:CLH:own:rel_shallow=conj</t>
  </si>
  <si>
    <t>sent_id: 1700_1749_941_sec25 | rules: sentence:meta:period=1700_1749, node:X:own:Voice=Act, node:X:child:Case={'Nom'}, node:X:child:Definite={'Ind'}, node:X:child:Gender={'Com'}, node:X:child:Number={'Sing'}, node:X:child:VerbForm={'Fin'}, node:CLH:own:VerbForm=Inf, node:CLH:own:Voice=Act, node:CLH:own:rel_shallow=advcl</t>
  </si>
  <si>
    <t>sent_id: 1700_1749_943_sec25 | rules: sentence:meta:period=1700_1749, node:X:own:Voice=Act, node:X:child:Case={'Nom'}, node:X:child:Definite={'Def', 'Ind'}, node:X:child:Gender={'Com', 'Neut'}, node:X:child:Number={'Sing'}, node:X:child:VerbForm={'Fin'}, node:X:child:PronType={'Prs'}, node:CLH:own:Mood=Ind, node:CLH:own:Tense=Past, node:CLH:own:VerbForm=Fin, node:CLH:own:Voice=Act, node:CLH:own:rel_shallow=advcl</t>
  </si>
  <si>
    <t>sent_id: 1700_1749_949_sec25 | rules: sentence:meta:period=1700_1749, node:X:own:Voice=Act, node:X:child:Case={'Nom', 'Acc'}, node:X:child:Definite={'Def', 'Ind'}, node:X:child:Number={'Plur', 'Sing'}, node:X:child:PronType={'Prs'}, node:X:child:VerbForm={'Fin'}, node:X:child:Gender={'Com'}, node:CLH:own:Mood=Ind, node:CLH:own:Tense=Past, node:CLH:own:VerbForm=Fin, node:CLH:own:Voice=Act, node:CLH:own:rel_shallow=ccomp</t>
  </si>
  <si>
    <t>sent_id: 1700_1749_950_sec25 | rules: sentence:meta:period=1700_1749, node:X:own:Voice=Act, node:X:child:VerbForm={'Fin'}, node:X:child:Case={'Nom', 'Acc'}, node:X:child:Definite={'Def', 'Ind'}, node:X:child:PronType={'Prs', 'Ind'}, node:X:child:Degree={'Pos'}, node:X:child:Gender={'Neut'}, node:X:child:Number={'Sing'}, node:CLH:own:Mood=Ind, node:CLH:own:Tense=Past, node:CLH:own:VerbForm=Fin, node:CLH:own:Voice=Act, node:CLH:own:rel_shallow=root</t>
  </si>
  <si>
    <t>sent_id: 1700_1749_951_sec25 | rules: sentence:meta:period=1700_1749, node:X:own:Voice=Act, node:X:child:VerbForm={'Fin'}, node:X:child:Case={'Nom'}, node:X:child:Definite={'Def', 'Ind'}, node:X:child:Gender={'Com', 'Neut'}, node:X:child:Number={'Sing'}, node:X:child:PronType={'Prs', 'Rel'}, node:CLH:own:Mood=Ind, node:CLH:own:Tense=Past, node:CLH:own:VerbForm=Fin, node:CLH:own:Voice=Act, node:CLH:own:rel_shallow=root</t>
  </si>
  <si>
    <t>sent_id: 1700_1749_951_sec25 | rules: sentence:meta:period=1700_1749, node:X:own:Voice=Act, node:X:child:VerbForm={'Fin', 'Inf'}, node:X:child:Case={'Nom'}, node:X:child:Definite={'Def', 'Ind'}, node:X:child:Gender={'Com'}, node:X:child:Number={'Sing'}, node:X:child:PronType={'Prs'}, node:CLH:own:rel_shallow=nmod</t>
  </si>
  <si>
    <t>sent_id: 1700_1749_952_sec25 | rules: sentence:meta:period=1700_1749, node:X:own:Voice=Act, node:X:child:VerbForm={'Fin'}, node:X:child:Case={'Nom'}, node:X:child:Definite={'Def'}, node:X:child:Gender={'Com'}, node:X:child:Number={'Sing'}, node:X:child:PronType={'Prs'}, node:CLH:own:Mood=Ind, node:CLH:own:Tense=Past, node:CLH:own:VerbForm=Fin, node:CLH:own:Voice=Act, node:CLH:own:rel_shallow=root</t>
  </si>
  <si>
    <t>sent_id: 1700_1749_962_sec25 | rules: sentence:meta:period=1700_1749, node:X:own:Voice=Act, node:X:child:Case={'Nom'}, node:X:child:Definite={'Ind'}, node:X:child:Gender={'Neut'}, node:X:child:Number={'Sing'}, node:X:child:Degree={'Pos'}, node:X:child:VerbForm={'Fin', 'Inf'}, node:CLH:own:VerbForm=Inf, node:CLH:own:Voice=Act, node:CLH:own:rel_shallow=advcl</t>
  </si>
  <si>
    <t>sent_id: 1700_1749_987_sec25 | rules: sentence:meta:period=1700_1749, node:X:own:Voice=Act, node:X:child:VerbForm={'Fin', 'Inf'}, node:X:child:Case={'Nom'}, node:X:child:Definite={'Def', 'Ind'}, node:X:child:Gender={'Com', 'Neut'}, node:X:child:Number={'Sing'}, node:X:child:PronType={'Prs'}, node:CLH:own:Mood=Ind, node:CLH:own:Tense=Past, node:CLH:own:VerbForm=Fin, node:CLH:own:Voice=Act, node:CLH:own:rel_shallow=root</t>
  </si>
  <si>
    <t>sent_id: 1700_1749_987_sec25 | rules: sentence:meta:period=1700_1749, node:X:own:Voice=Act, node:X:child:VerbForm={'Sup', 'Fin'}, node:X:child:Case={'Nom'}, node:X:child:Definite={'Def', 'Ind'}, node:X:child:Gender={'Com', 'Neut'}, node:X:child:Number={'Sing'}, node:X:child:PronType={'Prs'}, node:X:child:Polarity={'Neg'}, node:CLH:own:Case=Nom, node:CLH:own:rel_shallow=appos</t>
  </si>
  <si>
    <t>sent_id: 1700_1749_987_sec25 | rules: sentence:meta:period=1700_1749, node:X:own:Voice=Act, node:X:child:VerbForm={'Sup', 'Fin', 'Inf'}, node:X:child:Case={'Nom'}, node:X:child:Definite={'Def', 'Ind'}, node:X:child:Degree={'Pos'}, node:X:child:Gender={'Com'}, node:X:child:Number={'Sing'}, node:X:child:PronType={'Prs'}, node:CLH:own:VerbForm=Sup, node:CLH:own:Voice=Act, node:CLH:own:rel_shallow=xcomp</t>
  </si>
  <si>
    <t>sent_id: 1700_1749_1001_sec25 | rules: sentence:meta:period=1700_1749, node:X:own:Voice=Act, node:X:child:VerbForm={'Fin'}, node:X:child:Definite={'Def'}, node:X:child:Gender={'Com', 'Neut'}, node:X:child:Number={'Sing'}, node:X:child:PronType={'Prs'}, node:X:child:Case={'Nom'}, node:CLH:own:Mood=Ind, node:CLH:own:Tense=Past, node:CLH:own:VerbForm=Fin, node:CLH:own:Voice=Act, node:CLH:own:rel_shallow=root</t>
  </si>
  <si>
    <t>sent_id: 1700_1749_1016_sec25 | rules: sentence:meta:period=1700_1749, node:X:own:Voice=Act, node:X:child:VerbForm={'Fin', 'Inf'}, node:X:child:Case={'Nom'}, node:X:child:Definite={'Def', 'Ind'}, node:X:child:Gender={'Com'}, node:X:child:Number={'Sing'}, node:X:child:PronType={'Prs'}, node:CLH:own:Case=Nom, node:CLH:own:Definite=Ind, node:CLH:own:Gender=Com, node:CLH:own:Number=Sing, node:CLH:own:rel_shallow=obl</t>
  </si>
  <si>
    <t>sent_id: 1700_1749_1025_sec25 | rules: sentence:meta:period=1700_1749, node:X:own:Voice=Act, node:X:child:Case={'Nom'}, node:X:child:Definite={'Ind'}, node:X:child:Gender={'Com'}, node:X:child:Number={'Plur', 'Sing'}, node:X:child:VerbForm={'Fin', 'Inf'}, node:X:child:Degree={'Pos'}, node:CLH:own:Mood=Ind, node:CLH:own:Tense=Past, node:CLH:own:VerbForm=Fin, node:CLH:own:Voice=Act, node:CLH:own:rel_shallow=root</t>
  </si>
  <si>
    <t>1700_1749  licenses AUX</t>
  </si>
  <si>
    <t>Grammatical phenomenon: omission of "ha" in subordinate clauses</t>
  </si>
  <si>
    <t>Notes:</t>
  </si>
  <si>
    <t xml:space="preserve"> =&gt; </t>
  </si>
  <si>
    <t>P(y=1|pattern)</t>
  </si>
  <si>
    <t>P(y=1|pattern)&gt;P(y=1)</t>
  </si>
  <si>
    <t>mu = P(y=1)</t>
  </si>
  <si>
    <t>a= P(y=1|pattern)</t>
  </si>
  <si>
    <t>n=total times pattern appears</t>
  </si>
  <si>
    <t>gstat = 2 * n_matched * (((a * np.log(a)) if a &gt; 0 else 0) - a * np.log(mu)+ (((1 - a) * np.log(1 - a)) if (1 - a) &gt; 0 else 0) - (1 - a) * np.log(1 - mu)
)</t>
  </si>
  <si>
    <t>Cohen's W</t>
  </si>
  <si>
    <t>W = sqrt(G / n)</t>
  </si>
  <si>
    <t>n</t>
  </si>
  <si>
    <t xml:space="preserve"> </t>
  </si>
  <si>
    <t>CLH's past tense amplifies it in earlier period</t>
  </si>
  <si>
    <t>from logistic regression</t>
  </si>
  <si>
    <t>G stat: Ho: P(y=1|pattern) = P(y=1)</t>
  </si>
  <si>
    <t>mu = (num_positive / total)</t>
  </si>
  <si>
    <t>a = (n_positive / n_matched)</t>
  </si>
  <si>
    <t xml:space="preserve">Precision </t>
  </si>
  <si>
    <t>Treebank</t>
  </si>
  <si>
    <t>Sentences</t>
  </si>
  <si>
    <t>Sw_Tal 1970s</t>
  </si>
  <si>
    <t>6,038 </t>
  </si>
  <si>
    <t>Sw_LinES</t>
  </si>
  <si>
    <t>5,696 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</si>
</sst>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4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 (Body)"/>
    </font>
    <font>
      <b/>
      <sz val="18"/>
      <color theme="1"/>
      <name val="Calibri (Body)"/>
    </font>
    <font>
      <b/>
      <sz val="10"/>
      <color rgb="FF000000"/>
      <name val="Tahoma"/>
      <family val="2"/>
    </font>
    <font>
      <sz val="10"/>
      <color rgb="FF000000"/>
      <name val="Calibri"/>
      <family val="2"/>
      <scheme val="minor"/>
    </font>
    <font>
      <sz val="13"/>
      <color theme="1"/>
      <name val=".AppleSystemUIFont"/>
    </font>
    <font>
      <b/>
      <sz val="13"/>
      <color theme="1"/>
      <name val=".AppleSystemUIFont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0" borderId="10" xfId="0" applyBorder="1"/>
    <xf numFmtId="0" fontId="23" fillId="0" borderId="0" xfId="0" applyFont="1"/>
    <xf numFmtId="0" fontId="22" fillId="0" borderId="0" xfId="0" applyFont="1"/>
    <xf numFmtId="0" fontId="23" fillId="0" borderId="10" xfId="0" applyFont="1" applyBorder="1"/>
    <xf numFmtId="0" fontId="22" fillId="0" borderId="10" xfId="0" applyFont="1" applyBorder="1"/>
    <xf numFmtId="0" fontId="0" fillId="0" borderId="10" xfId="0" applyBorder="1" applyAlignment="1">
      <alignment wrapText="1"/>
    </xf>
    <xf numFmtId="164" fontId="0" fillId="0" borderId="10" xfId="0" applyNumberFormat="1" applyBorder="1"/>
    <xf numFmtId="0" fontId="19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812800</xdr:colOff>
      <xdr:row>12</xdr:row>
      <xdr:rowOff>190500</xdr:rowOff>
    </xdr:from>
    <xdr:to>
      <xdr:col>13</xdr:col>
      <xdr:colOff>165100</xdr:colOff>
      <xdr:row>18</xdr:row>
      <xdr:rowOff>0</xdr:rowOff>
    </xdr:to>
    <xdr:sp macro="" textlink="">
      <xdr:nvSpPr>
        <xdr:cNvPr id="1029" name="Text Box 5">
          <a:extLst>
            <a:ext uri="{FF2B5EF4-FFF2-40B4-BE49-F238E27FC236}">
              <a16:creationId xmlns:a16="http://schemas.microsoft.com/office/drawing/2014/main" id="{00916347-7C90-3CD4-DA38-EDDDCAC6C048}"/>
            </a:ext>
          </a:extLst>
        </xdr:cNvPr>
        <xdr:cNvSpPr txBox="1">
          <a:spLocks noChangeArrowheads="1"/>
        </xdr:cNvSpPr>
      </xdr:nvSpPr>
      <xdr:spPr bwMode="auto">
        <a:xfrm>
          <a:off x="13893800" y="2844800"/>
          <a:ext cx="3771900" cy="1028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200" b="0" i="0" u="none" strike="noStrike" baseline="0">
              <a:solidFill>
                <a:srgbClr val="000000"/>
              </a:solidFill>
              <a:latin typeface="Calibri" pitchFamily="2" charset="0"/>
              <a:cs typeface="Calibri" pitchFamily="2" charset="0"/>
            </a:rPr>
            <a:t>The coefficient tells us how much that feature pushes the prediction toward or away from the positive class (conclusion-satisfying).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Downloads/negation1.xlsx" TargetMode="External"/><Relationship Id="rId2" Type="http://schemas.openxmlformats.org/officeDocument/2006/relationships/externalLinkPath" Target="/Users/anaal882/Downloads/negation1.xlsx" TargetMode="External"/><Relationship Id="rId1" Type="http://schemas.openxmlformats.org/officeDocument/2006/relationships/externalLinkPath" Target="/Users/anaal882/Downloads/negation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gation1"/>
    </sheetNames>
    <sheetDataSet>
      <sheetData sheetId="0">
        <row r="12">
          <cell r="G12">
            <v>100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90C14-ECFE-CF40-813B-C743C2DE1BBB}">
  <dimension ref="A1"/>
  <sheetViews>
    <sheetView workbookViewId="0">
      <selection activeCell="B48" sqref="B48"/>
    </sheetView>
  </sheetViews>
  <sheetFormatPr baseColWidth="10" defaultRowHeight="16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82AB4-2229-1C4C-97DE-CAD4E393CAE6}">
  <dimension ref="A1:S240"/>
  <sheetViews>
    <sheetView tabSelected="1" zoomScale="75" zoomScaleNormal="75" workbookViewId="0">
      <selection activeCell="S36" sqref="S36"/>
    </sheetView>
  </sheetViews>
  <sheetFormatPr baseColWidth="10" defaultRowHeight="16"/>
  <cols>
    <col min="1" max="1" width="85" customWidth="1"/>
    <col min="10" max="10" width="6.33203125" customWidth="1"/>
    <col min="11" max="11" width="19.1640625" customWidth="1"/>
    <col min="12" max="12" width="12.33203125" customWidth="1"/>
    <col min="13" max="13" width="12.83203125" customWidth="1"/>
    <col min="14" max="14" width="17.5" customWidth="1"/>
    <col min="15" max="15" width="16.33203125" customWidth="1"/>
    <col min="17" max="17" width="17.83203125" customWidth="1"/>
    <col min="18" max="18" width="15.33203125" customWidth="1"/>
    <col min="19" max="19" width="29.83203125" customWidth="1"/>
  </cols>
  <sheetData>
    <row r="1" spans="1:15">
      <c r="A1" s="12" t="s">
        <v>1785</v>
      </c>
      <c r="B1" s="13"/>
      <c r="C1" s="13"/>
      <c r="D1" s="13"/>
      <c r="E1" s="13"/>
      <c r="F1" s="13"/>
      <c r="G1" s="13"/>
      <c r="H1" s="13"/>
      <c r="I1" s="13"/>
    </row>
    <row r="2" spans="1:15" ht="30" customHeight="1">
      <c r="A2" s="13"/>
      <c r="B2" s="13"/>
      <c r="C2" s="13"/>
      <c r="D2" s="13"/>
      <c r="E2" s="13"/>
      <c r="F2" s="13"/>
      <c r="G2" s="13"/>
      <c r="H2" s="13"/>
      <c r="I2" s="13"/>
    </row>
    <row r="3" spans="1:15">
      <c r="A3" t="s">
        <v>0</v>
      </c>
      <c r="B3" t="s">
        <v>1</v>
      </c>
      <c r="J3" t="s">
        <v>1786</v>
      </c>
    </row>
    <row r="4" spans="1:15">
      <c r="A4" t="s">
        <v>2</v>
      </c>
      <c r="B4" t="s">
        <v>3</v>
      </c>
      <c r="J4" t="s">
        <v>1784</v>
      </c>
    </row>
    <row r="5" spans="1:15">
      <c r="A5" t="s">
        <v>4</v>
      </c>
      <c r="B5">
        <v>2244</v>
      </c>
      <c r="D5" s="5" t="s">
        <v>232</v>
      </c>
      <c r="E5" s="5" t="s">
        <v>233</v>
      </c>
      <c r="F5" s="5" t="s">
        <v>234</v>
      </c>
      <c r="G5" s="5" t="s">
        <v>235</v>
      </c>
      <c r="H5" s="5" t="s">
        <v>236</v>
      </c>
      <c r="J5" t="s">
        <v>1798</v>
      </c>
    </row>
    <row r="6" spans="1:15">
      <c r="A6" t="s">
        <v>5</v>
      </c>
      <c r="B6">
        <v>478</v>
      </c>
      <c r="D6" s="5">
        <v>181</v>
      </c>
      <c r="E6" s="5">
        <v>57</v>
      </c>
      <c r="F6" s="5">
        <v>30</v>
      </c>
      <c r="G6" s="5">
        <v>116</v>
      </c>
      <c r="H6" s="5">
        <v>94</v>
      </c>
    </row>
    <row r="7" spans="1:15">
      <c r="C7" t="s">
        <v>230</v>
      </c>
      <c r="D7" t="s">
        <v>231</v>
      </c>
    </row>
    <row r="8" spans="1:15">
      <c r="A8" t="s">
        <v>6</v>
      </c>
      <c r="B8" t="s">
        <v>7</v>
      </c>
      <c r="C8" t="s">
        <v>8</v>
      </c>
      <c r="D8" t="s">
        <v>9</v>
      </c>
      <c r="E8" t="s">
        <v>10</v>
      </c>
      <c r="F8" t="s">
        <v>11</v>
      </c>
      <c r="G8" t="s">
        <v>12</v>
      </c>
      <c r="H8" t="s">
        <v>13</v>
      </c>
      <c r="I8" t="s">
        <v>237</v>
      </c>
    </row>
    <row r="9" spans="1:15" ht="17">
      <c r="A9" s="2" t="s">
        <v>238</v>
      </c>
      <c r="B9" s="2" t="s">
        <v>16</v>
      </c>
      <c r="C9" s="2">
        <v>55</v>
      </c>
      <c r="D9" s="2">
        <v>50</v>
      </c>
      <c r="E9" s="2" t="s">
        <v>15</v>
      </c>
      <c r="F9" s="2">
        <v>3.7999999999999999E-2</v>
      </c>
      <c r="G9" s="2">
        <v>10.46</v>
      </c>
      <c r="H9" s="2">
        <v>90.909000000000006</v>
      </c>
      <c r="I9" s="2">
        <v>1.4990000000000001</v>
      </c>
      <c r="K9" s="8" t="s">
        <v>1804</v>
      </c>
      <c r="L9" s="8" t="s">
        <v>1805</v>
      </c>
      <c r="M9" s="8" t="s">
        <v>8</v>
      </c>
      <c r="N9" s="8" t="s">
        <v>9</v>
      </c>
      <c r="O9" s="6"/>
    </row>
    <row r="10" spans="1:15" ht="17">
      <c r="A10" s="1" t="s">
        <v>239</v>
      </c>
      <c r="B10" s="1" t="s">
        <v>14</v>
      </c>
      <c r="C10" s="1">
        <v>19</v>
      </c>
      <c r="D10" s="1">
        <v>17</v>
      </c>
      <c r="E10" s="1" t="s">
        <v>15</v>
      </c>
      <c r="F10" s="1">
        <v>0.61799999999999999</v>
      </c>
      <c r="G10" s="1">
        <v>3.556</v>
      </c>
      <c r="H10" s="1">
        <v>89.474000000000004</v>
      </c>
      <c r="I10" s="1">
        <v>1.464</v>
      </c>
      <c r="K10" s="9" t="s">
        <v>1806</v>
      </c>
      <c r="L10" s="9" t="s">
        <v>1807</v>
      </c>
      <c r="M10" s="9">
        <v>167</v>
      </c>
      <c r="N10" s="9">
        <v>48</v>
      </c>
      <c r="O10" s="7"/>
    </row>
    <row r="11" spans="1:15" ht="17">
      <c r="A11" s="1" t="s">
        <v>240</v>
      </c>
      <c r="B11" s="1" t="s">
        <v>14</v>
      </c>
      <c r="C11" s="1">
        <v>33</v>
      </c>
      <c r="D11" s="1">
        <v>28</v>
      </c>
      <c r="E11" s="1" t="s">
        <v>15</v>
      </c>
      <c r="F11" s="1">
        <v>0.04</v>
      </c>
      <c r="G11" s="1">
        <v>5.8579999999999997</v>
      </c>
      <c r="H11" s="1">
        <v>84.847999999999999</v>
      </c>
      <c r="I11" s="1">
        <v>1.359</v>
      </c>
      <c r="K11" s="9" t="s">
        <v>1808</v>
      </c>
      <c r="L11" s="9" t="s">
        <v>1809</v>
      </c>
      <c r="M11" s="9">
        <v>299</v>
      </c>
      <c r="N11" s="9">
        <v>245</v>
      </c>
      <c r="O11" s="7"/>
    </row>
    <row r="12" spans="1:15">
      <c r="A12" s="2" t="s">
        <v>241</v>
      </c>
      <c r="B12" s="2" t="s">
        <v>16</v>
      </c>
      <c r="C12" s="2">
        <v>161</v>
      </c>
      <c r="D12" s="2">
        <v>136</v>
      </c>
      <c r="E12" s="2" t="s">
        <v>15</v>
      </c>
      <c r="F12" s="2">
        <v>2.1000000000000001E-2</v>
      </c>
      <c r="G12" s="2">
        <v>28.452000000000002</v>
      </c>
      <c r="H12" s="2">
        <v>84.471999999999994</v>
      </c>
      <c r="I12" s="2">
        <v>1.35</v>
      </c>
    </row>
    <row r="13" spans="1:15">
      <c r="A13" s="2" t="s">
        <v>229</v>
      </c>
      <c r="B13" s="2" t="s">
        <v>16</v>
      </c>
      <c r="C13" s="2">
        <v>37</v>
      </c>
      <c r="D13" s="2">
        <v>31</v>
      </c>
      <c r="E13" s="2" t="s">
        <v>15</v>
      </c>
      <c r="F13" s="2">
        <v>0.57099999999999995</v>
      </c>
      <c r="G13" s="2">
        <v>6.4850000000000003</v>
      </c>
      <c r="H13" s="2">
        <v>83.784000000000006</v>
      </c>
      <c r="I13" s="2">
        <v>1.335</v>
      </c>
    </row>
    <row r="14" spans="1:15">
      <c r="A14" s="1" t="s">
        <v>242</v>
      </c>
      <c r="B14" s="1" t="s">
        <v>14</v>
      </c>
      <c r="C14" s="1">
        <v>42</v>
      </c>
      <c r="D14" s="1">
        <v>35</v>
      </c>
      <c r="E14" s="1" t="s">
        <v>15</v>
      </c>
      <c r="F14" s="1">
        <v>5.5E-2</v>
      </c>
      <c r="G14" s="1">
        <v>7.3220000000000001</v>
      </c>
      <c r="H14" s="1">
        <v>83.332999999999998</v>
      </c>
      <c r="I14" s="1">
        <v>1.325</v>
      </c>
    </row>
    <row r="15" spans="1:15">
      <c r="A15" s="2" t="s">
        <v>243</v>
      </c>
      <c r="B15" s="2" t="s">
        <v>16</v>
      </c>
      <c r="C15" s="2">
        <v>132</v>
      </c>
      <c r="D15" s="2">
        <v>109</v>
      </c>
      <c r="E15" s="2" t="s">
        <v>15</v>
      </c>
      <c r="F15" s="2">
        <v>0.19800000000000001</v>
      </c>
      <c r="G15" s="2">
        <v>22.803000000000001</v>
      </c>
      <c r="H15" s="2">
        <v>82.575999999999993</v>
      </c>
      <c r="I15" s="2">
        <v>1.3089999999999999</v>
      </c>
    </row>
    <row r="16" spans="1:15">
      <c r="A16" s="2" t="s">
        <v>244</v>
      </c>
      <c r="B16" s="2" t="s">
        <v>16</v>
      </c>
      <c r="C16" s="2">
        <v>202</v>
      </c>
      <c r="D16" s="2">
        <v>164</v>
      </c>
      <c r="E16" s="2" t="s">
        <v>15</v>
      </c>
      <c r="F16" s="2">
        <v>1E-3</v>
      </c>
      <c r="G16" s="2">
        <v>34.31</v>
      </c>
      <c r="H16" s="2">
        <v>81.188000000000002</v>
      </c>
      <c r="I16" s="2">
        <v>1.278</v>
      </c>
    </row>
    <row r="17" spans="1:19">
      <c r="A17" s="2" t="s">
        <v>228</v>
      </c>
      <c r="B17" s="2" t="s">
        <v>16</v>
      </c>
      <c r="C17" s="2">
        <v>205</v>
      </c>
      <c r="D17" s="2">
        <v>165</v>
      </c>
      <c r="E17" s="2" t="s">
        <v>15</v>
      </c>
      <c r="F17" s="2">
        <v>1.7999999999999999E-2</v>
      </c>
      <c r="G17" s="2">
        <v>34.518999999999998</v>
      </c>
      <c r="H17" s="2">
        <v>80.488</v>
      </c>
      <c r="I17" s="2">
        <v>1.2629999999999999</v>
      </c>
    </row>
    <row r="18" spans="1:19">
      <c r="A18" s="2" t="s">
        <v>227</v>
      </c>
      <c r="B18" s="2" t="s">
        <v>16</v>
      </c>
      <c r="C18" s="2">
        <v>84</v>
      </c>
      <c r="D18" s="2">
        <v>67</v>
      </c>
      <c r="E18" s="2" t="s">
        <v>15</v>
      </c>
      <c r="F18" s="2">
        <v>1E-3</v>
      </c>
      <c r="G18" s="2">
        <v>14.016999999999999</v>
      </c>
      <c r="H18" s="2">
        <v>79.762</v>
      </c>
      <c r="I18" s="2">
        <v>1.248</v>
      </c>
    </row>
    <row r="19" spans="1:19">
      <c r="A19" s="1" t="s">
        <v>226</v>
      </c>
      <c r="B19" s="1" t="s">
        <v>14</v>
      </c>
      <c r="C19" s="1">
        <v>151</v>
      </c>
      <c r="D19" s="1">
        <v>119</v>
      </c>
      <c r="E19" s="1" t="s">
        <v>15</v>
      </c>
      <c r="F19" s="1">
        <v>7.0999999999999994E-2</v>
      </c>
      <c r="G19" s="1">
        <v>24.895</v>
      </c>
      <c r="H19" s="1">
        <v>78.808000000000007</v>
      </c>
      <c r="I19" s="1">
        <v>1.2270000000000001</v>
      </c>
    </row>
    <row r="20" spans="1:19">
      <c r="A20" s="1" t="s">
        <v>225</v>
      </c>
      <c r="B20" s="1" t="s">
        <v>14</v>
      </c>
      <c r="C20" s="1">
        <v>54</v>
      </c>
      <c r="D20" s="1">
        <v>42</v>
      </c>
      <c r="E20" s="1" t="s">
        <v>15</v>
      </c>
      <c r="F20" s="1">
        <v>0.29499999999999998</v>
      </c>
      <c r="G20" s="1">
        <v>8.7870000000000008</v>
      </c>
      <c r="H20" s="1">
        <v>77.778000000000006</v>
      </c>
      <c r="I20" s="1">
        <v>1.2050000000000001</v>
      </c>
    </row>
    <row r="21" spans="1:19">
      <c r="A21" s="1" t="s">
        <v>224</v>
      </c>
      <c r="B21" s="1" t="s">
        <v>14</v>
      </c>
      <c r="C21" s="1">
        <v>155</v>
      </c>
      <c r="D21" s="1">
        <v>120</v>
      </c>
      <c r="E21" s="1" t="s">
        <v>15</v>
      </c>
      <c r="F21" s="1">
        <v>4.2000000000000003E-2</v>
      </c>
      <c r="G21" s="1">
        <v>25.105</v>
      </c>
      <c r="H21" s="1">
        <v>77.418999999999997</v>
      </c>
      <c r="I21" s="1">
        <v>1.198</v>
      </c>
    </row>
    <row r="22" spans="1:19">
      <c r="A22" s="1" t="s">
        <v>223</v>
      </c>
      <c r="B22" s="1" t="s">
        <v>14</v>
      </c>
      <c r="C22" s="1">
        <v>159</v>
      </c>
      <c r="D22" s="1">
        <v>122</v>
      </c>
      <c r="E22" s="1" t="s">
        <v>15</v>
      </c>
      <c r="F22" s="1">
        <v>6.0000000000000001E-3</v>
      </c>
      <c r="G22" s="1">
        <v>25.523</v>
      </c>
      <c r="H22" s="1">
        <v>76.73</v>
      </c>
      <c r="I22" s="1">
        <v>1.1830000000000001</v>
      </c>
    </row>
    <row r="23" spans="1:19">
      <c r="A23" s="1" t="s">
        <v>222</v>
      </c>
      <c r="B23" s="1" t="s">
        <v>14</v>
      </c>
      <c r="C23" s="1">
        <v>78</v>
      </c>
      <c r="D23" s="1">
        <v>58</v>
      </c>
      <c r="E23" s="1" t="s">
        <v>15</v>
      </c>
      <c r="F23" s="1">
        <v>1.7999999999999999E-2</v>
      </c>
      <c r="G23" s="1">
        <v>12.134</v>
      </c>
      <c r="H23" s="1">
        <v>74.358999999999995</v>
      </c>
      <c r="I23" s="1">
        <v>1.133</v>
      </c>
      <c r="S23">
        <f>LN((1-R43)/(1-Q43))</f>
        <v>0.23954288547868166</v>
      </c>
    </row>
    <row r="24" spans="1:19">
      <c r="A24" s="1" t="s">
        <v>221</v>
      </c>
      <c r="B24" s="1" t="s">
        <v>14</v>
      </c>
      <c r="C24" s="1">
        <v>31</v>
      </c>
      <c r="D24" s="1">
        <v>23</v>
      </c>
      <c r="E24" s="1" t="s">
        <v>15</v>
      </c>
      <c r="F24" s="1">
        <v>0.26200000000000001</v>
      </c>
      <c r="G24" s="1">
        <v>4.8120000000000003</v>
      </c>
      <c r="H24" s="1">
        <v>74.194000000000003</v>
      </c>
      <c r="I24" s="1">
        <v>1.1299999999999999</v>
      </c>
    </row>
    <row r="25" spans="1:19">
      <c r="A25" s="1" t="s">
        <v>220</v>
      </c>
      <c r="B25" s="1" t="s">
        <v>14</v>
      </c>
      <c r="C25" s="1">
        <v>120</v>
      </c>
      <c r="D25" s="1">
        <v>88</v>
      </c>
      <c r="E25" s="1" t="s">
        <v>15</v>
      </c>
      <c r="F25" s="1">
        <v>2.5999999999999999E-2</v>
      </c>
      <c r="G25" s="1">
        <v>18.41</v>
      </c>
      <c r="H25" s="1">
        <v>73.332999999999998</v>
      </c>
      <c r="I25" s="1">
        <v>1.1120000000000001</v>
      </c>
    </row>
    <row r="26" spans="1:19">
      <c r="A26" s="1" t="s">
        <v>219</v>
      </c>
      <c r="B26" s="1" t="s">
        <v>14</v>
      </c>
      <c r="C26" s="1">
        <v>283</v>
      </c>
      <c r="D26" s="1">
        <v>207</v>
      </c>
      <c r="E26" s="1" t="s">
        <v>15</v>
      </c>
      <c r="F26" s="1">
        <v>1.4E-2</v>
      </c>
      <c r="G26" s="1">
        <v>43.305</v>
      </c>
      <c r="H26" s="1">
        <v>73.144999999999996</v>
      </c>
      <c r="I26" s="1">
        <v>1.1080000000000001</v>
      </c>
    </row>
    <row r="27" spans="1:19">
      <c r="A27" s="1" t="s">
        <v>218</v>
      </c>
      <c r="B27" s="1" t="s">
        <v>14</v>
      </c>
      <c r="C27" s="1">
        <v>122</v>
      </c>
      <c r="D27" s="1">
        <v>89</v>
      </c>
      <c r="E27" s="1" t="s">
        <v>15</v>
      </c>
      <c r="F27" s="1">
        <v>0.25900000000000001</v>
      </c>
      <c r="G27" s="1">
        <v>18.619</v>
      </c>
      <c r="H27" s="1">
        <v>72.950999999999993</v>
      </c>
      <c r="I27" s="1">
        <v>1.1040000000000001</v>
      </c>
    </row>
    <row r="28" spans="1:19">
      <c r="A28" s="1" t="s">
        <v>217</v>
      </c>
      <c r="B28" s="1" t="s">
        <v>14</v>
      </c>
      <c r="C28" s="1">
        <v>90</v>
      </c>
      <c r="D28" s="1">
        <v>65</v>
      </c>
      <c r="E28" s="1" t="s">
        <v>15</v>
      </c>
      <c r="F28" s="1">
        <v>0.20300000000000001</v>
      </c>
      <c r="G28" s="1">
        <v>13.598000000000001</v>
      </c>
      <c r="H28" s="1">
        <v>72.221999999999994</v>
      </c>
      <c r="I28" s="1">
        <v>1.089</v>
      </c>
    </row>
    <row r="29" spans="1:19">
      <c r="A29" s="1" t="s">
        <v>216</v>
      </c>
      <c r="B29" s="1" t="s">
        <v>14</v>
      </c>
      <c r="C29" s="1">
        <v>97</v>
      </c>
      <c r="D29" s="1">
        <v>69</v>
      </c>
      <c r="E29" s="1" t="s">
        <v>15</v>
      </c>
      <c r="F29" s="1">
        <v>9.1999999999999998E-2</v>
      </c>
      <c r="G29" s="1">
        <v>14.435</v>
      </c>
      <c r="H29" s="1">
        <v>71.134</v>
      </c>
      <c r="I29" s="1">
        <v>1.0660000000000001</v>
      </c>
    </row>
    <row r="30" spans="1:19">
      <c r="A30" s="1" t="s">
        <v>215</v>
      </c>
      <c r="B30" s="1" t="s">
        <v>14</v>
      </c>
      <c r="C30" s="1">
        <v>301</v>
      </c>
      <c r="D30" s="1">
        <v>214</v>
      </c>
      <c r="E30" s="1" t="s">
        <v>15</v>
      </c>
      <c r="F30" s="1">
        <v>2.1000000000000001E-2</v>
      </c>
      <c r="G30" s="1">
        <v>44.77</v>
      </c>
      <c r="H30" s="1">
        <v>71.096000000000004</v>
      </c>
      <c r="I30" s="1">
        <v>1.0649999999999999</v>
      </c>
    </row>
    <row r="31" spans="1:19">
      <c r="A31" s="1" t="s">
        <v>214</v>
      </c>
      <c r="B31" s="1" t="s">
        <v>14</v>
      </c>
      <c r="C31" s="1">
        <v>99</v>
      </c>
      <c r="D31" s="1">
        <v>70</v>
      </c>
      <c r="E31" s="1" t="s">
        <v>15</v>
      </c>
      <c r="F31" s="1">
        <v>1.7000000000000001E-2</v>
      </c>
      <c r="G31" s="1">
        <v>14.644</v>
      </c>
      <c r="H31" s="1">
        <v>70.706999999999994</v>
      </c>
      <c r="I31" s="1">
        <v>1.0569999999999999</v>
      </c>
    </row>
    <row r="32" spans="1:19">
      <c r="A32" s="1" t="s">
        <v>213</v>
      </c>
      <c r="B32" s="1" t="s">
        <v>14</v>
      </c>
      <c r="C32" s="1">
        <v>402</v>
      </c>
      <c r="D32" s="1">
        <v>282</v>
      </c>
      <c r="E32" s="1" t="s">
        <v>15</v>
      </c>
      <c r="F32" s="1">
        <v>3.0000000000000001E-3</v>
      </c>
      <c r="G32" s="1">
        <v>58.996000000000002</v>
      </c>
      <c r="H32" s="1">
        <v>70.149000000000001</v>
      </c>
      <c r="I32" s="1">
        <v>1.046</v>
      </c>
    </row>
    <row r="33" spans="1:19">
      <c r="A33" s="1" t="s">
        <v>212</v>
      </c>
      <c r="B33" s="1" t="s">
        <v>14</v>
      </c>
      <c r="C33" s="1">
        <v>359</v>
      </c>
      <c r="D33" s="1">
        <v>250</v>
      </c>
      <c r="E33" s="1" t="s">
        <v>15</v>
      </c>
      <c r="F33" s="1">
        <v>7.0000000000000001E-3</v>
      </c>
      <c r="G33" s="1">
        <v>52.301000000000002</v>
      </c>
      <c r="H33" s="1">
        <v>69.638000000000005</v>
      </c>
      <c r="I33" s="1">
        <v>1.0349999999999999</v>
      </c>
    </row>
    <row r="34" spans="1:19">
      <c r="A34" s="1" t="s">
        <v>211</v>
      </c>
      <c r="B34" s="1" t="s">
        <v>14</v>
      </c>
      <c r="C34" s="1">
        <v>426</v>
      </c>
      <c r="D34" s="1">
        <v>294</v>
      </c>
      <c r="E34" s="1" t="s">
        <v>15</v>
      </c>
      <c r="F34" s="1">
        <v>1.4E-2</v>
      </c>
      <c r="G34" s="1">
        <v>61.506</v>
      </c>
      <c r="H34" s="1">
        <v>69.013999999999996</v>
      </c>
      <c r="I34" s="1">
        <v>1.022</v>
      </c>
    </row>
    <row r="35" spans="1:19">
      <c r="A35" s="1" t="s">
        <v>210</v>
      </c>
      <c r="B35" s="1" t="s">
        <v>14</v>
      </c>
      <c r="C35" s="1">
        <v>512</v>
      </c>
      <c r="D35" s="1">
        <v>352</v>
      </c>
      <c r="E35" s="1" t="s">
        <v>15</v>
      </c>
      <c r="F35" s="1">
        <v>0.14599999999999999</v>
      </c>
      <c r="G35" s="1">
        <v>73.64</v>
      </c>
      <c r="H35" s="1">
        <v>68.75</v>
      </c>
      <c r="I35" s="1">
        <v>1.0169999999999999</v>
      </c>
    </row>
    <row r="36" spans="1:19">
      <c r="A36" s="1" t="s">
        <v>209</v>
      </c>
      <c r="B36" s="1" t="s">
        <v>14</v>
      </c>
      <c r="C36" s="1">
        <v>576</v>
      </c>
      <c r="D36" s="1">
        <v>393</v>
      </c>
      <c r="E36" s="1" t="s">
        <v>15</v>
      </c>
      <c r="F36" s="1">
        <v>1.2E-2</v>
      </c>
      <c r="G36" s="1">
        <v>82.218000000000004</v>
      </c>
      <c r="H36" s="1">
        <v>68.228999999999999</v>
      </c>
      <c r="I36" s="1">
        <v>1.006</v>
      </c>
      <c r="K36" s="5" t="s">
        <v>10</v>
      </c>
      <c r="L36" s="5" t="s">
        <v>11</v>
      </c>
      <c r="M36" s="5" t="s">
        <v>12</v>
      </c>
      <c r="N36" s="5" t="s">
        <v>1803</v>
      </c>
      <c r="O36" s="5" t="s">
        <v>1794</v>
      </c>
      <c r="P36" s="5" t="s">
        <v>1796</v>
      </c>
      <c r="Q36" s="5" t="s">
        <v>1790</v>
      </c>
      <c r="R36" s="5" t="s">
        <v>1791</v>
      </c>
      <c r="S36" s="5" t="s">
        <v>1800</v>
      </c>
    </row>
    <row r="37" spans="1:19" ht="28" customHeight="1">
      <c r="A37" s="1" t="s">
        <v>208</v>
      </c>
      <c r="B37" s="1" t="s">
        <v>14</v>
      </c>
      <c r="C37" s="1">
        <v>528</v>
      </c>
      <c r="D37" s="1">
        <v>358</v>
      </c>
      <c r="E37" s="1" t="s">
        <v>15</v>
      </c>
      <c r="F37" s="1">
        <v>6.3E-2</v>
      </c>
      <c r="G37" s="1">
        <v>74.894999999999996</v>
      </c>
      <c r="H37" s="1">
        <v>67.802999999999997</v>
      </c>
      <c r="I37" s="1">
        <v>0.997</v>
      </c>
      <c r="K37" s="5" t="s">
        <v>1789</v>
      </c>
      <c r="L37" s="10" t="s">
        <v>1799</v>
      </c>
      <c r="M37" s="10"/>
      <c r="N37" s="10" t="s">
        <v>1788</v>
      </c>
      <c r="O37" s="10" t="s">
        <v>1795</v>
      </c>
      <c r="P37" s="10" t="s">
        <v>1792</v>
      </c>
      <c r="Q37" s="10" t="s">
        <v>1801</v>
      </c>
      <c r="R37" s="10" t="s">
        <v>1802</v>
      </c>
      <c r="S37" s="10" t="s">
        <v>1793</v>
      </c>
    </row>
    <row r="38" spans="1:19">
      <c r="A38" s="1" t="s">
        <v>207</v>
      </c>
      <c r="B38" s="1" t="s">
        <v>14</v>
      </c>
      <c r="C38" s="1">
        <v>170</v>
      </c>
      <c r="D38" s="1">
        <v>115</v>
      </c>
      <c r="E38" s="1" t="s">
        <v>15</v>
      </c>
      <c r="F38" s="3">
        <v>-8.6999999999999994E-2</v>
      </c>
      <c r="G38" s="1">
        <v>24.059000000000001</v>
      </c>
      <c r="H38" s="1">
        <v>67.647000000000006</v>
      </c>
      <c r="I38" s="1">
        <v>0.99399999999999999</v>
      </c>
      <c r="J38" t="s">
        <v>1787</v>
      </c>
      <c r="K38" s="5" t="b">
        <f>R38&gt;(Total_pos/Total_all)</f>
        <v>1</v>
      </c>
      <c r="L38" s="5"/>
      <c r="M38" s="11">
        <f>(D38/Total_pos)*100</f>
        <v>24.05857740585774</v>
      </c>
      <c r="N38" s="11">
        <f>(D38/C38)*100</f>
        <v>67.64705882352942</v>
      </c>
      <c r="O38" s="11">
        <f>SQRT(S38/P38)</f>
        <v>0.99407755514537033</v>
      </c>
      <c r="P38" s="5">
        <f>Total_all</f>
        <v>2244</v>
      </c>
      <c r="Q38" s="11">
        <f>Total_pos/Total_all</f>
        <v>0.21301247771836007</v>
      </c>
      <c r="R38" s="11">
        <f>D38/C38</f>
        <v>0.67647058823529416</v>
      </c>
      <c r="S38" s="11">
        <f>2*P38*(IF(R38=0,0,R38*LN(R38/Q38))+IF(R38=1,0,(1-R38)*LN((1-R38)/(1-Q38))))</f>
        <v>2217.4987765846799</v>
      </c>
    </row>
    <row r="39" spans="1:19">
      <c r="A39" s="1" t="s">
        <v>206</v>
      </c>
      <c r="B39" s="1" t="s">
        <v>14</v>
      </c>
      <c r="C39" s="1">
        <v>68</v>
      </c>
      <c r="D39" s="1">
        <v>46</v>
      </c>
      <c r="E39" s="1" t="s">
        <v>15</v>
      </c>
      <c r="F39" s="1">
        <v>0.158</v>
      </c>
      <c r="G39" s="1">
        <v>9.6229999999999993</v>
      </c>
      <c r="H39" s="1">
        <v>67.647000000000006</v>
      </c>
      <c r="I39" s="1">
        <v>0.99399999999999999</v>
      </c>
      <c r="K39" s="5" t="b">
        <f>R39&gt;(Total_pos/Total_all)</f>
        <v>1</v>
      </c>
      <c r="L39" s="5"/>
      <c r="M39" s="11">
        <f>(D39/Total_pos)*100</f>
        <v>9.6234309623430967</v>
      </c>
      <c r="N39" s="11">
        <f t="shared" ref="N39:N45" si="0">(D39/C39)*100</f>
        <v>67.64705882352942</v>
      </c>
      <c r="O39" s="11">
        <f t="shared" ref="O39:O102" si="1">SQRT(S39/P39)</f>
        <v>0.99407755514537033</v>
      </c>
      <c r="P39" s="5">
        <f>Total_all</f>
        <v>2244</v>
      </c>
      <c r="Q39" s="11">
        <f>Total_pos/Total_all</f>
        <v>0.21301247771836007</v>
      </c>
      <c r="R39" s="11">
        <f t="shared" ref="R39:R45" si="2">D39/C39</f>
        <v>0.67647058823529416</v>
      </c>
      <c r="S39" s="11">
        <f t="shared" ref="S39:S45" si="3">2*P39*(IF(R39=0,0,R39*LN(R39/Q39))+IF(R39=1,0,(1-R39)*LN((1-R39)/(1-Q39))))</f>
        <v>2217.4987765846799</v>
      </c>
    </row>
    <row r="40" spans="1:19">
      <c r="A40" s="1" t="s">
        <v>205</v>
      </c>
      <c r="B40" s="1" t="s">
        <v>14</v>
      </c>
      <c r="C40" s="1">
        <v>594</v>
      </c>
      <c r="D40" s="1">
        <v>399</v>
      </c>
      <c r="E40" s="1" t="s">
        <v>15</v>
      </c>
      <c r="F40" s="1">
        <v>0.61399999999999999</v>
      </c>
      <c r="G40" s="1">
        <v>83.472999999999999</v>
      </c>
      <c r="H40" s="1">
        <v>67.171999999999997</v>
      </c>
      <c r="I40" s="1">
        <v>0.98399999999999999</v>
      </c>
      <c r="K40" s="5" t="b">
        <f>R40&gt;(Total_pos/Total_all)</f>
        <v>1</v>
      </c>
      <c r="L40" s="5"/>
      <c r="M40" s="11">
        <f>(D40/Total_pos)*100</f>
        <v>83.472803347280333</v>
      </c>
      <c r="N40" s="11">
        <f t="shared" si="0"/>
        <v>67.171717171717177</v>
      </c>
      <c r="O40" s="11">
        <f t="shared" si="1"/>
        <v>0.98430524704877065</v>
      </c>
      <c r="P40" s="5">
        <f>Total_all</f>
        <v>2244</v>
      </c>
      <c r="Q40" s="11">
        <f>Total_pos/Total_all</f>
        <v>0.21301247771836007</v>
      </c>
      <c r="R40" s="11">
        <f t="shared" si="2"/>
        <v>0.67171717171717171</v>
      </c>
      <c r="S40" s="11">
        <f t="shared" si="3"/>
        <v>2174.1147026612116</v>
      </c>
    </row>
    <row r="41" spans="1:19">
      <c r="A41" s="2" t="s">
        <v>204</v>
      </c>
      <c r="B41" s="2" t="s">
        <v>16</v>
      </c>
      <c r="C41" s="2">
        <v>45</v>
      </c>
      <c r="D41" s="2">
        <v>29</v>
      </c>
      <c r="E41" s="2" t="s">
        <v>15</v>
      </c>
      <c r="F41" s="4">
        <v>-0.40600000000000003</v>
      </c>
      <c r="G41" s="2">
        <v>6.0670000000000002</v>
      </c>
      <c r="H41" s="2">
        <v>64.444000000000003</v>
      </c>
      <c r="I41" s="2">
        <v>0.92800000000000005</v>
      </c>
      <c r="K41" s="5" t="b">
        <f>R41&gt;(Total_pos/Total_all)</f>
        <v>1</v>
      </c>
      <c r="L41" s="5"/>
      <c r="M41" s="11">
        <f>(D41/Total_pos)*100</f>
        <v>6.0669456066945608</v>
      </c>
      <c r="N41" s="11">
        <f t="shared" si="0"/>
        <v>64.444444444444443</v>
      </c>
      <c r="O41" s="11">
        <f t="shared" si="1"/>
        <v>0.92835827001388893</v>
      </c>
      <c r="P41" s="5">
        <f>Total_all</f>
        <v>2244</v>
      </c>
      <c r="Q41" s="11">
        <f>Total_pos/Total_all</f>
        <v>0.21301247771836007</v>
      </c>
      <c r="R41" s="11">
        <f t="shared" si="2"/>
        <v>0.64444444444444449</v>
      </c>
      <c r="S41" s="11">
        <f t="shared" si="3"/>
        <v>1933.9893299171374</v>
      </c>
    </row>
    <row r="42" spans="1:19">
      <c r="A42" s="2" t="s">
        <v>203</v>
      </c>
      <c r="B42" s="2" t="s">
        <v>16</v>
      </c>
      <c r="C42" s="2">
        <v>79</v>
      </c>
      <c r="D42" s="2">
        <v>48</v>
      </c>
      <c r="E42" s="2" t="s">
        <v>15</v>
      </c>
      <c r="F42" s="2">
        <v>1.4999999999999999E-2</v>
      </c>
      <c r="G42" s="2">
        <v>10.042</v>
      </c>
      <c r="H42" s="2">
        <v>60.759</v>
      </c>
      <c r="I42" s="2">
        <v>0.85299999999999998</v>
      </c>
      <c r="K42" s="5" t="e" cm="1">
        <f t="array" ref="K42">N11&gt;(Conclusion_satisfying_occurences/Scope_occurrences)</f>
        <v>#NAME?</v>
      </c>
      <c r="L42" s="5"/>
      <c r="M42" s="11">
        <f>(D42/Total_pos)*100</f>
        <v>10.0418410041841</v>
      </c>
      <c r="N42" s="11">
        <f>(D42/C42)*100</f>
        <v>60.75949367088608</v>
      </c>
      <c r="O42" s="11">
        <f>SQRT(S42/P42)</f>
        <v>0.85296383657321417</v>
      </c>
      <c r="P42" s="5">
        <f>Total_all</f>
        <v>2244</v>
      </c>
      <c r="Q42" s="11">
        <f>Total_pos/Total_all</f>
        <v>0.21301247771836007</v>
      </c>
      <c r="R42" s="11">
        <f t="shared" si="2"/>
        <v>0.60759493670886078</v>
      </c>
      <c r="S42" s="11">
        <f t="shared" si="3"/>
        <v>1632.6161557898074</v>
      </c>
    </row>
    <row r="43" spans="1:19">
      <c r="A43" s="4" t="s">
        <v>97</v>
      </c>
      <c r="B43" s="4" t="s">
        <v>16</v>
      </c>
      <c r="C43" s="4">
        <v>27</v>
      </c>
      <c r="D43" s="4">
        <v>0</v>
      </c>
      <c r="E43" s="4" t="s">
        <v>22</v>
      </c>
      <c r="F43" s="4">
        <v>-9.5000000000000001E-2</v>
      </c>
      <c r="G43" s="4">
        <v>1.5289999999999999</v>
      </c>
      <c r="H43" s="4">
        <v>100</v>
      </c>
      <c r="I43" s="4">
        <v>0.69199999999999995</v>
      </c>
      <c r="K43" s="5" t="b">
        <f>R43&gt;(Total_pos/Total_all)</f>
        <v>0</v>
      </c>
      <c r="L43" s="5"/>
      <c r="M43" s="11" t="b">
        <f>[1]negation1!$G$12=((C43-D43)/(Total_all-Total_pos))*100</f>
        <v>0</v>
      </c>
      <c r="N43" s="11">
        <f t="shared" si="0"/>
        <v>0</v>
      </c>
      <c r="O43" s="11">
        <f>SQRT(S43/P43)</f>
        <v>0.69216022058289606</v>
      </c>
      <c r="P43" s="5">
        <f>Total_all</f>
        <v>2244</v>
      </c>
      <c r="Q43" s="11">
        <f>Total_pos/Total_all</f>
        <v>0.21301247771836007</v>
      </c>
      <c r="R43" s="11">
        <f t="shared" si="2"/>
        <v>0</v>
      </c>
      <c r="S43" s="11">
        <f t="shared" si="3"/>
        <v>1075.0684700283232</v>
      </c>
    </row>
    <row r="44" spans="1:19">
      <c r="A44" s="2" t="s">
        <v>202</v>
      </c>
      <c r="B44" s="2" t="s">
        <v>16</v>
      </c>
      <c r="C44" s="2">
        <v>123</v>
      </c>
      <c r="D44" s="2">
        <v>65</v>
      </c>
      <c r="E44" s="2" t="s">
        <v>15</v>
      </c>
      <c r="F44" s="2">
        <v>0.23799999999999999</v>
      </c>
      <c r="G44" s="2">
        <v>13.598000000000001</v>
      </c>
      <c r="H44" s="2">
        <v>52.845999999999997</v>
      </c>
      <c r="I44" s="2">
        <v>0.69099999999999995</v>
      </c>
      <c r="K44" s="5" t="b">
        <f>R44&gt;(Total_pos/Total_all)</f>
        <v>1</v>
      </c>
      <c r="L44" s="5"/>
      <c r="M44" s="11">
        <f>(D44/Total_pos)*100</f>
        <v>13.598326359832635</v>
      </c>
      <c r="N44" s="11">
        <f t="shared" si="0"/>
        <v>52.845528455284551</v>
      </c>
      <c r="O44" s="11">
        <f t="shared" si="1"/>
        <v>0.6908457585751504</v>
      </c>
      <c r="P44" s="5">
        <f>Total_all</f>
        <v>2244</v>
      </c>
      <c r="Q44" s="11">
        <f>Total_pos/Total_all</f>
        <v>0.21301247771836007</v>
      </c>
      <c r="R44" s="11">
        <f t="shared" si="2"/>
        <v>0.52845528455284552</v>
      </c>
      <c r="S44" s="11">
        <f t="shared" si="3"/>
        <v>1070.9890826450212</v>
      </c>
    </row>
    <row r="45" spans="1:19">
      <c r="A45" s="2" t="s">
        <v>201</v>
      </c>
      <c r="B45" s="2" t="s">
        <v>16</v>
      </c>
      <c r="C45" s="2">
        <v>27</v>
      </c>
      <c r="D45" s="2">
        <v>14</v>
      </c>
      <c r="E45" s="2" t="s">
        <v>15</v>
      </c>
      <c r="F45" s="4">
        <v>-0.377</v>
      </c>
      <c r="G45" s="2">
        <v>2.9289999999999998</v>
      </c>
      <c r="H45" s="2">
        <v>51.851999999999997</v>
      </c>
      <c r="I45" s="2">
        <v>0.67</v>
      </c>
      <c r="K45" s="5" t="b">
        <f>R45&gt;(Total_pos/Total_all)</f>
        <v>1</v>
      </c>
      <c r="L45" s="5"/>
      <c r="M45" s="11">
        <f>(D45/Total_pos)*100</f>
        <v>2.9288702928870292</v>
      </c>
      <c r="N45" s="11">
        <f t="shared" si="0"/>
        <v>51.851851851851848</v>
      </c>
      <c r="O45" s="11">
        <f t="shared" si="1"/>
        <v>0.67039346483353457</v>
      </c>
      <c r="P45" s="5">
        <f>Total_all</f>
        <v>2244</v>
      </c>
      <c r="Q45" s="11">
        <f>Total_pos/Total_all</f>
        <v>0.21301247771836007</v>
      </c>
      <c r="R45" s="11">
        <f t="shared" si="2"/>
        <v>0.51851851851851849</v>
      </c>
      <c r="S45" s="11">
        <f t="shared" si="3"/>
        <v>1008.5150804197519</v>
      </c>
    </row>
    <row r="46" spans="1:19">
      <c r="A46" s="1" t="s">
        <v>200</v>
      </c>
      <c r="B46" s="1" t="s">
        <v>14</v>
      </c>
      <c r="C46" s="1">
        <v>45</v>
      </c>
      <c r="D46" s="1">
        <v>23</v>
      </c>
      <c r="E46" s="1" t="s">
        <v>15</v>
      </c>
      <c r="F46" s="3">
        <v>-2.5999999999999999E-2</v>
      </c>
      <c r="G46" s="1">
        <v>4.8120000000000003</v>
      </c>
      <c r="H46" s="1">
        <v>51.110999999999997</v>
      </c>
      <c r="I46" s="1">
        <v>0.65500000000000003</v>
      </c>
      <c r="K46" s="5" t="b">
        <f>R46&gt;(Total_pos/Total_all)</f>
        <v>1</v>
      </c>
      <c r="L46" s="5"/>
      <c r="M46" s="11">
        <f>(D46/Total_pos)*100</f>
        <v>4.8117154811715483</v>
      </c>
      <c r="N46" s="11">
        <f t="shared" ref="N39:N102" si="4">(D46/C46)*100</f>
        <v>51.111111111111107</v>
      </c>
      <c r="O46" s="11">
        <f t="shared" si="1"/>
        <v>0.65512464179967766</v>
      </c>
      <c r="P46" s="5">
        <f>Total_all</f>
        <v>2244</v>
      </c>
      <c r="Q46" s="11">
        <f>Total_pos/Total_all</f>
        <v>0.21301247771836007</v>
      </c>
      <c r="R46" s="11">
        <f t="shared" ref="R39:R102" si="5">D46/C46</f>
        <v>0.51111111111111107</v>
      </c>
      <c r="S46" s="11">
        <f t="shared" ref="S39:S102" si="6">2*P46*(R46*LN(R46/Q46)+(1-R46)*LN((1-R46)/(1-Q46)))</f>
        <v>963.09853688184216</v>
      </c>
    </row>
    <row r="47" spans="1:19">
      <c r="A47" s="2" t="s">
        <v>199</v>
      </c>
      <c r="B47" s="2" t="s">
        <v>16</v>
      </c>
      <c r="C47" s="2">
        <v>153</v>
      </c>
      <c r="D47" s="2">
        <v>78</v>
      </c>
      <c r="E47" s="2" t="s">
        <v>15</v>
      </c>
      <c r="F47" s="2">
        <v>1.9E-2</v>
      </c>
      <c r="G47" s="2">
        <v>16.318000000000001</v>
      </c>
      <c r="H47" s="2">
        <v>50.98</v>
      </c>
      <c r="I47" s="2">
        <v>0.65200000000000002</v>
      </c>
      <c r="K47" s="5" t="b">
        <f>R47&gt;(Total_pos/Total_all)</f>
        <v>1</v>
      </c>
      <c r="L47" s="5"/>
      <c r="M47" s="11">
        <f>(D47/Total_pos)*100</f>
        <v>16.317991631799163</v>
      </c>
      <c r="N47" s="11">
        <f t="shared" si="4"/>
        <v>50.980392156862742</v>
      </c>
      <c r="O47" s="11">
        <f t="shared" si="1"/>
        <v>0.65242799516218508</v>
      </c>
      <c r="P47" s="5">
        <f>Total_all</f>
        <v>2244</v>
      </c>
      <c r="Q47" s="11">
        <f>Total_pos/Total_all</f>
        <v>0.21301247771836007</v>
      </c>
      <c r="R47" s="11">
        <f t="shared" si="5"/>
        <v>0.50980392156862742</v>
      </c>
      <c r="S47" s="11">
        <f t="shared" si="6"/>
        <v>955.18617622730551</v>
      </c>
    </row>
    <row r="48" spans="1:19">
      <c r="A48" s="2" t="s">
        <v>198</v>
      </c>
      <c r="B48" s="2" t="s">
        <v>16</v>
      </c>
      <c r="C48" s="2">
        <v>159</v>
      </c>
      <c r="D48" s="2">
        <v>80</v>
      </c>
      <c r="E48" s="2" t="s">
        <v>15</v>
      </c>
      <c r="F48" s="2">
        <v>8.4000000000000005E-2</v>
      </c>
      <c r="G48" s="2">
        <v>16.736000000000001</v>
      </c>
      <c r="H48" s="2">
        <v>50.314</v>
      </c>
      <c r="I48" s="2">
        <v>0.63900000000000001</v>
      </c>
      <c r="K48" s="5" t="b">
        <f>R48&gt;(Total_pos/Total_all)</f>
        <v>1</v>
      </c>
      <c r="L48" s="5"/>
      <c r="M48" s="11">
        <f>(D48/Total_pos)*100</f>
        <v>16.736401673640167</v>
      </c>
      <c r="N48" s="11">
        <f t="shared" si="4"/>
        <v>50.314465408805034</v>
      </c>
      <c r="O48" s="11">
        <f t="shared" si="1"/>
        <v>0.6386797866067625</v>
      </c>
      <c r="P48" s="5">
        <f>Total_all</f>
        <v>2244</v>
      </c>
      <c r="Q48" s="11">
        <f>Total_pos/Total_all</f>
        <v>0.21301247771836007</v>
      </c>
      <c r="R48" s="11">
        <f t="shared" si="5"/>
        <v>0.50314465408805031</v>
      </c>
      <c r="S48" s="11">
        <f t="shared" si="6"/>
        <v>915.35423587621403</v>
      </c>
    </row>
    <row r="49" spans="1:19">
      <c r="A49" s="1" t="s">
        <v>197</v>
      </c>
      <c r="B49" s="1" t="s">
        <v>14</v>
      </c>
      <c r="C49" s="1">
        <v>40</v>
      </c>
      <c r="D49" s="1">
        <v>20</v>
      </c>
      <c r="E49" s="1" t="s">
        <v>15</v>
      </c>
      <c r="F49" s="3">
        <v>-8.5000000000000006E-2</v>
      </c>
      <c r="G49" s="1">
        <v>4.1840000000000002</v>
      </c>
      <c r="H49" s="1">
        <v>50</v>
      </c>
      <c r="I49" s="1">
        <v>0.63200000000000001</v>
      </c>
      <c r="K49" s="5" t="b">
        <f>R49&gt;(Total_pos/Total_all)</f>
        <v>1</v>
      </c>
      <c r="L49" s="5"/>
      <c r="M49" s="11">
        <f>(D49/Total_pos)*100</f>
        <v>4.1841004184100417</v>
      </c>
      <c r="N49" s="11">
        <f t="shared" si="4"/>
        <v>50</v>
      </c>
      <c r="O49" s="11">
        <f t="shared" si="1"/>
        <v>0.63218119120227068</v>
      </c>
      <c r="P49" s="5">
        <f>Total_all</f>
        <v>2244</v>
      </c>
      <c r="Q49" s="11">
        <f>Total_pos/Total_all</f>
        <v>0.21301247771836007</v>
      </c>
      <c r="R49" s="11">
        <f t="shared" si="5"/>
        <v>0.5</v>
      </c>
      <c r="S49" s="11">
        <f t="shared" si="6"/>
        <v>896.82146329626482</v>
      </c>
    </row>
    <row r="50" spans="1:19">
      <c r="A50" s="2" t="s">
        <v>196</v>
      </c>
      <c r="B50" s="2" t="s">
        <v>16</v>
      </c>
      <c r="C50" s="2">
        <v>148</v>
      </c>
      <c r="D50" s="2">
        <v>73</v>
      </c>
      <c r="E50" s="2" t="s">
        <v>15</v>
      </c>
      <c r="F50" s="4">
        <v>-0.317</v>
      </c>
      <c r="G50" s="2">
        <v>15.272</v>
      </c>
      <c r="H50" s="2">
        <v>49.323999999999998</v>
      </c>
      <c r="I50" s="2">
        <v>0.61799999999999999</v>
      </c>
      <c r="K50" s="5" t="b">
        <f>R50&gt;(Total_pos/Total_all)</f>
        <v>1</v>
      </c>
      <c r="L50" s="5"/>
      <c r="M50" s="11">
        <f>(D50/Total_pos)*100</f>
        <v>15.271966527196653</v>
      </c>
      <c r="N50" s="11">
        <f t="shared" si="4"/>
        <v>49.324324324324323</v>
      </c>
      <c r="O50" s="11">
        <f t="shared" si="1"/>
        <v>0.61820335373259094</v>
      </c>
      <c r="P50" s="5">
        <f>Total_all</f>
        <v>2244</v>
      </c>
      <c r="Q50" s="11">
        <f>Total_pos/Total_all</f>
        <v>0.21301247771836007</v>
      </c>
      <c r="R50" s="11">
        <f t="shared" si="5"/>
        <v>0.49324324324324326</v>
      </c>
      <c r="S50" s="11">
        <f t="shared" si="6"/>
        <v>857.60156745460449</v>
      </c>
    </row>
    <row r="51" spans="1:19">
      <c r="A51" s="2" t="s">
        <v>195</v>
      </c>
      <c r="B51" s="2" t="s">
        <v>16</v>
      </c>
      <c r="C51" s="2">
        <v>236</v>
      </c>
      <c r="D51" s="2">
        <v>116</v>
      </c>
      <c r="E51" s="2" t="s">
        <v>15</v>
      </c>
      <c r="F51" s="2">
        <v>1.7999999999999999E-2</v>
      </c>
      <c r="G51" s="2">
        <v>24.268000000000001</v>
      </c>
      <c r="H51" s="2">
        <v>49.152999999999999</v>
      </c>
      <c r="I51" s="2">
        <v>0.61499999999999999</v>
      </c>
      <c r="K51" s="5" t="b">
        <f>R51&gt;(Total_pos/Total_all)</f>
        <v>1</v>
      </c>
      <c r="L51" s="5"/>
      <c r="M51" s="11">
        <f>(D51/Total_pos)*100</f>
        <v>24.267782426778243</v>
      </c>
      <c r="N51" s="11">
        <f t="shared" si="4"/>
        <v>49.152542372881356</v>
      </c>
      <c r="O51" s="11">
        <f t="shared" si="1"/>
        <v>0.6146463606031124</v>
      </c>
      <c r="P51" s="5">
        <f>Total_all</f>
        <v>2244</v>
      </c>
      <c r="Q51" s="11">
        <f>Total_pos/Total_all</f>
        <v>0.21301247771836007</v>
      </c>
      <c r="R51" s="11">
        <f t="shared" si="5"/>
        <v>0.49152542372881358</v>
      </c>
      <c r="S51" s="11">
        <f t="shared" si="6"/>
        <v>847.76109346434953</v>
      </c>
    </row>
    <row r="52" spans="1:19">
      <c r="A52" s="2" t="s">
        <v>194</v>
      </c>
      <c r="B52" s="2" t="s">
        <v>16</v>
      </c>
      <c r="C52" s="2">
        <v>267</v>
      </c>
      <c r="D52" s="2">
        <v>130</v>
      </c>
      <c r="E52" s="2" t="s">
        <v>15</v>
      </c>
      <c r="F52" s="2">
        <v>0.123</v>
      </c>
      <c r="G52" s="2">
        <v>27.196999999999999</v>
      </c>
      <c r="H52" s="2">
        <v>48.689</v>
      </c>
      <c r="I52" s="2">
        <v>0.60499999999999998</v>
      </c>
      <c r="K52" s="5" t="b">
        <f>R52&gt;(Total_pos/Total_all)</f>
        <v>1</v>
      </c>
      <c r="L52" s="5"/>
      <c r="M52" s="11">
        <f>(D52/Total_pos)*100</f>
        <v>27.19665271966527</v>
      </c>
      <c r="N52" s="11">
        <f t="shared" si="4"/>
        <v>48.68913857677903</v>
      </c>
      <c r="O52" s="11">
        <f t="shared" si="1"/>
        <v>0.60504395701914337</v>
      </c>
      <c r="P52" s="5">
        <f>Total_all</f>
        <v>2244</v>
      </c>
      <c r="Q52" s="11">
        <f>Total_pos/Total_all</f>
        <v>0.21301247771836007</v>
      </c>
      <c r="R52" s="11">
        <f t="shared" si="5"/>
        <v>0.48689138576779029</v>
      </c>
      <c r="S52" s="11">
        <f t="shared" si="6"/>
        <v>821.47945819255938</v>
      </c>
    </row>
    <row r="53" spans="1:19">
      <c r="A53" s="2" t="s">
        <v>193</v>
      </c>
      <c r="B53" s="2" t="s">
        <v>16</v>
      </c>
      <c r="C53" s="2">
        <v>247</v>
      </c>
      <c r="D53" s="2">
        <v>120</v>
      </c>
      <c r="E53" s="2" t="s">
        <v>15</v>
      </c>
      <c r="F53" s="2">
        <v>4.2000000000000003E-2</v>
      </c>
      <c r="G53" s="2">
        <v>25.105</v>
      </c>
      <c r="H53" s="2">
        <v>48.582999999999998</v>
      </c>
      <c r="I53" s="2">
        <v>0.60299999999999998</v>
      </c>
      <c r="K53" s="5" t="b">
        <f>R53&gt;(Total_pos/Total_all)</f>
        <v>1</v>
      </c>
      <c r="L53" s="5"/>
      <c r="M53" s="11">
        <f>(D53/Total_pos)*100</f>
        <v>25.10460251046025</v>
      </c>
      <c r="N53" s="11">
        <f t="shared" si="4"/>
        <v>48.582995951417004</v>
      </c>
      <c r="O53" s="11">
        <f t="shared" si="1"/>
        <v>0.60284306523577968</v>
      </c>
      <c r="P53" s="5">
        <f>Total_all</f>
        <v>2244</v>
      </c>
      <c r="Q53" s="11">
        <f>Total_pos/Total_all</f>
        <v>0.21301247771836007</v>
      </c>
      <c r="R53" s="11">
        <f t="shared" si="5"/>
        <v>0.48582995951417002</v>
      </c>
      <c r="S53" s="11">
        <f t="shared" si="6"/>
        <v>815.5139443636416</v>
      </c>
    </row>
    <row r="54" spans="1:19">
      <c r="A54" s="2" t="s">
        <v>192</v>
      </c>
      <c r="B54" s="2" t="s">
        <v>16</v>
      </c>
      <c r="C54" s="2">
        <v>303</v>
      </c>
      <c r="D54" s="2">
        <v>147</v>
      </c>
      <c r="E54" s="2" t="s">
        <v>15</v>
      </c>
      <c r="F54" s="2">
        <v>4.2000000000000003E-2</v>
      </c>
      <c r="G54" s="2">
        <v>30.753</v>
      </c>
      <c r="H54" s="2">
        <v>48.515000000000001</v>
      </c>
      <c r="I54" s="2">
        <v>0.60099999999999998</v>
      </c>
      <c r="K54" s="5" t="b">
        <f>R54&gt;(Total_pos/Total_all)</f>
        <v>1</v>
      </c>
      <c r="L54" s="5"/>
      <c r="M54" s="11">
        <f>(D54/Total_pos)*100</f>
        <v>30.753138075313807</v>
      </c>
      <c r="N54" s="11">
        <f t="shared" si="4"/>
        <v>48.514851485148512</v>
      </c>
      <c r="O54" s="11">
        <f t="shared" si="1"/>
        <v>0.60142978143728021</v>
      </c>
      <c r="P54" s="5">
        <f>Total_all</f>
        <v>2244</v>
      </c>
      <c r="Q54" s="11">
        <f>Total_pos/Total_all</f>
        <v>0.21301247771836007</v>
      </c>
      <c r="R54" s="11">
        <f t="shared" si="5"/>
        <v>0.48514851485148514</v>
      </c>
      <c r="S54" s="11">
        <f t="shared" si="6"/>
        <v>811.69470280731468</v>
      </c>
    </row>
    <row r="55" spans="1:19">
      <c r="A55" s="2" t="s">
        <v>191</v>
      </c>
      <c r="B55" s="2" t="s">
        <v>16</v>
      </c>
      <c r="C55" s="2">
        <v>286</v>
      </c>
      <c r="D55" s="2">
        <v>136</v>
      </c>
      <c r="E55" s="2" t="s">
        <v>15</v>
      </c>
      <c r="F55" s="2">
        <v>0.161</v>
      </c>
      <c r="G55" s="2">
        <v>28.452000000000002</v>
      </c>
      <c r="H55" s="2">
        <v>47.552</v>
      </c>
      <c r="I55" s="2">
        <v>0.58099999999999996</v>
      </c>
      <c r="K55" s="5" t="b">
        <f>R55&gt;(Total_pos/Total_all)</f>
        <v>1</v>
      </c>
      <c r="L55" s="5"/>
      <c r="M55" s="11">
        <f>(D55/Total_pos)*100</f>
        <v>28.451882845188287</v>
      </c>
      <c r="N55" s="11">
        <f t="shared" si="4"/>
        <v>47.552447552447553</v>
      </c>
      <c r="O55" s="11">
        <f t="shared" si="1"/>
        <v>0.58144472914618961</v>
      </c>
      <c r="P55" s="5">
        <f>Total_all</f>
        <v>2244</v>
      </c>
      <c r="Q55" s="11">
        <f>Total_pos/Total_all</f>
        <v>0.21301247771836007</v>
      </c>
      <c r="R55" s="11">
        <f t="shared" si="5"/>
        <v>0.47552447552447552</v>
      </c>
      <c r="S55" s="11">
        <f t="shared" si="6"/>
        <v>758.64697152843178</v>
      </c>
    </row>
    <row r="56" spans="1:19">
      <c r="A56" s="2" t="s">
        <v>190</v>
      </c>
      <c r="B56" s="2" t="s">
        <v>16</v>
      </c>
      <c r="C56" s="2">
        <v>252</v>
      </c>
      <c r="D56" s="2">
        <v>119</v>
      </c>
      <c r="E56" s="2" t="s">
        <v>15</v>
      </c>
      <c r="F56" s="2">
        <v>0.13300000000000001</v>
      </c>
      <c r="G56" s="2">
        <v>24.895</v>
      </c>
      <c r="H56" s="2">
        <v>47.222000000000001</v>
      </c>
      <c r="I56" s="2">
        <v>0.57499999999999996</v>
      </c>
      <c r="K56" s="5" t="b">
        <f>R56&gt;(Total_pos/Total_all)</f>
        <v>1</v>
      </c>
      <c r="L56" s="5"/>
      <c r="M56" s="11">
        <f>(D56/Total_pos)*100</f>
        <v>24.89539748953975</v>
      </c>
      <c r="N56" s="11">
        <f t="shared" si="4"/>
        <v>47.222222222222221</v>
      </c>
      <c r="O56" s="11">
        <f t="shared" si="1"/>
        <v>0.57457605498712683</v>
      </c>
      <c r="P56" s="5">
        <f>Total_all</f>
        <v>2244</v>
      </c>
      <c r="Q56" s="11">
        <f>Total_pos/Total_all</f>
        <v>0.21301247771836007</v>
      </c>
      <c r="R56" s="11">
        <f t="shared" si="5"/>
        <v>0.47222222222222221</v>
      </c>
      <c r="S56" s="11">
        <f t="shared" si="6"/>
        <v>740.82887081249453</v>
      </c>
    </row>
    <row r="57" spans="1:19">
      <c r="A57" s="1" t="s">
        <v>189</v>
      </c>
      <c r="B57" s="1" t="s">
        <v>14</v>
      </c>
      <c r="C57" s="1">
        <v>47</v>
      </c>
      <c r="D57" s="1">
        <v>22</v>
      </c>
      <c r="E57" s="1" t="s">
        <v>15</v>
      </c>
      <c r="F57" s="3">
        <v>-3.7999999999999999E-2</v>
      </c>
      <c r="G57" s="1">
        <v>4.6029999999999998</v>
      </c>
      <c r="H57" s="1">
        <v>46.808999999999997</v>
      </c>
      <c r="I57" s="1">
        <v>0.56599999999999995</v>
      </c>
      <c r="K57" s="5" t="b">
        <f>R57&gt;(Total_pos/Total_all)</f>
        <v>1</v>
      </c>
      <c r="L57" s="5"/>
      <c r="M57" s="11">
        <f>(D57/Total_pos)*100</f>
        <v>4.6025104602510458</v>
      </c>
      <c r="N57" s="11">
        <f t="shared" si="4"/>
        <v>46.808510638297875</v>
      </c>
      <c r="O57" s="11">
        <f t="shared" si="1"/>
        <v>0.56596234005630242</v>
      </c>
      <c r="P57" s="5">
        <f>Total_all</f>
        <v>2244</v>
      </c>
      <c r="Q57" s="11">
        <f>Total_pos/Total_all</f>
        <v>0.21301247771836007</v>
      </c>
      <c r="R57" s="11">
        <f t="shared" si="5"/>
        <v>0.46808510638297873</v>
      </c>
      <c r="S57" s="11">
        <f t="shared" si="6"/>
        <v>718.78320309234073</v>
      </c>
    </row>
    <row r="58" spans="1:19">
      <c r="A58" s="1" t="s">
        <v>188</v>
      </c>
      <c r="B58" s="1" t="s">
        <v>14</v>
      </c>
      <c r="C58" s="1">
        <v>15</v>
      </c>
      <c r="D58" s="1">
        <v>7</v>
      </c>
      <c r="E58" s="1" t="s">
        <v>15</v>
      </c>
      <c r="F58" s="1">
        <v>0.83399999999999996</v>
      </c>
      <c r="G58" s="1">
        <v>1.464</v>
      </c>
      <c r="H58" s="1">
        <v>46.667000000000002</v>
      </c>
      <c r="I58" s="1">
        <v>0.56299999999999994</v>
      </c>
      <c r="K58" s="5" t="b">
        <f>R58&gt;(Total_pos/Total_all)</f>
        <v>1</v>
      </c>
      <c r="L58" s="5"/>
      <c r="M58" s="11">
        <f>(D58/Total_pos)*100</f>
        <v>1.4644351464435146</v>
      </c>
      <c r="N58" s="11">
        <f t="shared" si="4"/>
        <v>46.666666666666664</v>
      </c>
      <c r="O58" s="11">
        <f t="shared" si="1"/>
        <v>0.56300683041210053</v>
      </c>
      <c r="P58" s="5">
        <f>Total_all</f>
        <v>2244</v>
      </c>
      <c r="Q58" s="11">
        <f>Total_pos/Total_all</f>
        <v>0.21301247771836007</v>
      </c>
      <c r="R58" s="11">
        <f t="shared" si="5"/>
        <v>0.46666666666666667</v>
      </c>
      <c r="S58" s="11">
        <f t="shared" si="6"/>
        <v>711.29569480748546</v>
      </c>
    </row>
    <row r="59" spans="1:19">
      <c r="A59" s="1" t="s">
        <v>187</v>
      </c>
      <c r="B59" s="1" t="s">
        <v>14</v>
      </c>
      <c r="C59" s="1">
        <v>15</v>
      </c>
      <c r="D59" s="1">
        <v>7</v>
      </c>
      <c r="E59" s="1" t="s">
        <v>15</v>
      </c>
      <c r="F59" s="1">
        <v>9.1999999999999998E-2</v>
      </c>
      <c r="G59" s="1">
        <v>1.464</v>
      </c>
      <c r="H59" s="1">
        <v>46.667000000000002</v>
      </c>
      <c r="I59" s="1">
        <v>0.56299999999999994</v>
      </c>
      <c r="K59" s="5" t="b">
        <f>R59&gt;(Total_pos/Total_all)</f>
        <v>1</v>
      </c>
      <c r="L59" s="5"/>
      <c r="M59" s="11">
        <f>(D59/Total_pos)*100</f>
        <v>1.4644351464435146</v>
      </c>
      <c r="N59" s="11">
        <f t="shared" si="4"/>
        <v>46.666666666666664</v>
      </c>
      <c r="O59" s="11">
        <f t="shared" si="1"/>
        <v>0.56300683041210053</v>
      </c>
      <c r="P59" s="5">
        <f>Total_all</f>
        <v>2244</v>
      </c>
      <c r="Q59" s="11">
        <f>Total_pos/Total_all</f>
        <v>0.21301247771836007</v>
      </c>
      <c r="R59" s="11">
        <f t="shared" si="5"/>
        <v>0.46666666666666667</v>
      </c>
      <c r="S59" s="11">
        <f t="shared" si="6"/>
        <v>711.29569480748546</v>
      </c>
    </row>
    <row r="60" spans="1:19">
      <c r="A60" s="1" t="s">
        <v>186</v>
      </c>
      <c r="B60" s="1" t="s">
        <v>14</v>
      </c>
      <c r="C60" s="1">
        <v>15</v>
      </c>
      <c r="D60" s="1">
        <v>7</v>
      </c>
      <c r="E60" s="1" t="s">
        <v>15</v>
      </c>
      <c r="F60" s="1">
        <v>4.9000000000000002E-2</v>
      </c>
      <c r="G60" s="1">
        <v>1.464</v>
      </c>
      <c r="H60" s="1">
        <v>46.667000000000002</v>
      </c>
      <c r="I60" s="1">
        <v>0.56299999999999994</v>
      </c>
      <c r="K60" s="5" t="b">
        <f>R60&gt;(Total_pos/Total_all)</f>
        <v>1</v>
      </c>
      <c r="L60" s="5"/>
      <c r="M60" s="11">
        <f>(D60/Total_pos)*100</f>
        <v>1.4644351464435146</v>
      </c>
      <c r="N60" s="11">
        <f t="shared" si="4"/>
        <v>46.666666666666664</v>
      </c>
      <c r="O60" s="11">
        <f t="shared" si="1"/>
        <v>0.56300683041210053</v>
      </c>
      <c r="P60" s="5">
        <f>Total_all</f>
        <v>2244</v>
      </c>
      <c r="Q60" s="11">
        <f>Total_pos/Total_all</f>
        <v>0.21301247771836007</v>
      </c>
      <c r="R60" s="11">
        <f t="shared" si="5"/>
        <v>0.46666666666666667</v>
      </c>
      <c r="S60" s="11">
        <f t="shared" si="6"/>
        <v>711.29569480748546</v>
      </c>
    </row>
    <row r="61" spans="1:19">
      <c r="A61" s="2" t="s">
        <v>185</v>
      </c>
      <c r="B61" s="2" t="s">
        <v>16</v>
      </c>
      <c r="C61" s="2">
        <v>43</v>
      </c>
      <c r="D61" s="2">
        <v>20</v>
      </c>
      <c r="E61" s="2" t="s">
        <v>15</v>
      </c>
      <c r="F61" s="2">
        <v>0.35499999999999998</v>
      </c>
      <c r="G61" s="2">
        <v>4.1840000000000002</v>
      </c>
      <c r="H61" s="2">
        <v>46.512</v>
      </c>
      <c r="I61" s="2">
        <v>0.56000000000000005</v>
      </c>
      <c r="K61" s="5" t="b">
        <f>R61&gt;(Total_pos/Total_all)</f>
        <v>1</v>
      </c>
      <c r="L61" s="5"/>
      <c r="M61" s="11">
        <f>(D61/Total_pos)*100</f>
        <v>4.1841004184100417</v>
      </c>
      <c r="N61" s="11">
        <f t="shared" si="4"/>
        <v>46.511627906976742</v>
      </c>
      <c r="O61" s="11">
        <f t="shared" si="1"/>
        <v>0.55977505912765202</v>
      </c>
      <c r="P61" s="5">
        <f>Total_all</f>
        <v>2244</v>
      </c>
      <c r="Q61" s="11">
        <f>Total_pos/Total_all</f>
        <v>0.21301247771836007</v>
      </c>
      <c r="R61" s="11">
        <f t="shared" si="5"/>
        <v>0.46511627906976744</v>
      </c>
      <c r="S61" s="11">
        <f t="shared" si="6"/>
        <v>703.15317414714605</v>
      </c>
    </row>
    <row r="62" spans="1:19">
      <c r="A62" s="1" t="s">
        <v>184</v>
      </c>
      <c r="B62" s="1" t="s">
        <v>14</v>
      </c>
      <c r="C62" s="1">
        <v>94</v>
      </c>
      <c r="D62" s="1">
        <v>43</v>
      </c>
      <c r="E62" s="1" t="s">
        <v>15</v>
      </c>
      <c r="F62" s="1">
        <v>1.7999999999999999E-2</v>
      </c>
      <c r="G62" s="1">
        <v>8.9960000000000004</v>
      </c>
      <c r="H62" s="1">
        <v>45.744999999999997</v>
      </c>
      <c r="I62" s="1">
        <v>0.54400000000000004</v>
      </c>
      <c r="K62" s="5" t="b">
        <f>R62&gt;(Total_pos/Total_all)</f>
        <v>1</v>
      </c>
      <c r="L62" s="5"/>
      <c r="M62" s="11">
        <f>(D62/Total_pos)*100</f>
        <v>8.99581589958159</v>
      </c>
      <c r="N62" s="11">
        <f t="shared" si="4"/>
        <v>45.744680851063826</v>
      </c>
      <c r="O62" s="11">
        <f t="shared" si="1"/>
        <v>0.54376709732562201</v>
      </c>
      <c r="P62" s="5">
        <f>Total_all</f>
        <v>2244</v>
      </c>
      <c r="Q62" s="11">
        <f>Total_pos/Total_all</f>
        <v>0.21301247771836007</v>
      </c>
      <c r="R62" s="11">
        <f t="shared" si="5"/>
        <v>0.45744680851063829</v>
      </c>
      <c r="S62" s="11">
        <f t="shared" si="6"/>
        <v>663.5118803645446</v>
      </c>
    </row>
    <row r="63" spans="1:19">
      <c r="A63" s="1" t="s">
        <v>183</v>
      </c>
      <c r="B63" s="1" t="s">
        <v>14</v>
      </c>
      <c r="C63" s="1">
        <v>94</v>
      </c>
      <c r="D63" s="1">
        <v>43</v>
      </c>
      <c r="E63" s="1" t="s">
        <v>15</v>
      </c>
      <c r="F63" s="1">
        <v>2.5999999999999999E-2</v>
      </c>
      <c r="G63" s="1">
        <v>8.9960000000000004</v>
      </c>
      <c r="H63" s="1">
        <v>45.744999999999997</v>
      </c>
      <c r="I63" s="1">
        <v>0.54400000000000004</v>
      </c>
      <c r="K63" s="5" t="b">
        <f>R63&gt;(Total_pos/Total_all)</f>
        <v>1</v>
      </c>
      <c r="L63" s="5"/>
      <c r="M63" s="11">
        <f>(D63/Total_pos)*100</f>
        <v>8.99581589958159</v>
      </c>
      <c r="N63" s="11">
        <f t="shared" si="4"/>
        <v>45.744680851063826</v>
      </c>
      <c r="O63" s="11">
        <f t="shared" si="1"/>
        <v>0.54376709732562201</v>
      </c>
      <c r="P63" s="5">
        <f>Total_all</f>
        <v>2244</v>
      </c>
      <c r="Q63" s="11">
        <f>Total_pos/Total_all</f>
        <v>0.21301247771836007</v>
      </c>
      <c r="R63" s="11">
        <f t="shared" si="5"/>
        <v>0.45744680851063829</v>
      </c>
      <c r="S63" s="11">
        <f t="shared" si="6"/>
        <v>663.5118803645446</v>
      </c>
    </row>
    <row r="64" spans="1:19">
      <c r="A64" s="2" t="s">
        <v>182</v>
      </c>
      <c r="B64" s="2" t="s">
        <v>16</v>
      </c>
      <c r="C64" s="2">
        <v>11</v>
      </c>
      <c r="D64" s="2">
        <v>5</v>
      </c>
      <c r="E64" s="2" t="s">
        <v>15</v>
      </c>
      <c r="F64" s="4">
        <v>-0.22</v>
      </c>
      <c r="G64" s="2">
        <v>1.046</v>
      </c>
      <c r="H64" s="2">
        <v>45.454999999999998</v>
      </c>
      <c r="I64" s="2">
        <v>0.53800000000000003</v>
      </c>
      <c r="K64" s="5" t="b">
        <f>R64&gt;(Total_pos/Total_all)</f>
        <v>1</v>
      </c>
      <c r="L64" s="5"/>
      <c r="M64" s="11">
        <f>(D64/Total_pos)*100</f>
        <v>1.0460251046025104</v>
      </c>
      <c r="N64" s="11">
        <f t="shared" si="4"/>
        <v>45.454545454545453</v>
      </c>
      <c r="O64" s="11">
        <f t="shared" si="1"/>
        <v>0.53770190463836676</v>
      </c>
      <c r="P64" s="5">
        <f>Total_all</f>
        <v>2244</v>
      </c>
      <c r="Q64" s="11">
        <f>Total_pos/Total_all</f>
        <v>0.21301247771836007</v>
      </c>
      <c r="R64" s="11">
        <f t="shared" si="5"/>
        <v>0.45454545454545453</v>
      </c>
      <c r="S64" s="11">
        <f t="shared" si="6"/>
        <v>648.79277103687593</v>
      </c>
    </row>
    <row r="65" spans="1:19">
      <c r="A65" s="2" t="s">
        <v>181</v>
      </c>
      <c r="B65" s="2" t="s">
        <v>16</v>
      </c>
      <c r="C65" s="2">
        <v>395</v>
      </c>
      <c r="D65" s="2">
        <v>179</v>
      </c>
      <c r="E65" s="2" t="s">
        <v>15</v>
      </c>
      <c r="F65" s="2">
        <v>4.5999999999999999E-2</v>
      </c>
      <c r="G65" s="2">
        <v>37.448</v>
      </c>
      <c r="H65" s="2">
        <v>45.316000000000003</v>
      </c>
      <c r="I65" s="2">
        <v>0.53500000000000003</v>
      </c>
      <c r="K65" s="5" t="b">
        <f>R65&gt;(Total_pos/Total_all)</f>
        <v>1</v>
      </c>
      <c r="L65" s="5"/>
      <c r="M65" s="11">
        <f>(D65/Total_pos)*100</f>
        <v>37.447698744769873</v>
      </c>
      <c r="N65" s="11">
        <f t="shared" si="4"/>
        <v>45.316455696202532</v>
      </c>
      <c r="O65" s="11">
        <f t="shared" si="1"/>
        <v>0.53481331438591928</v>
      </c>
      <c r="P65" s="5">
        <f>Total_all</f>
        <v>2244</v>
      </c>
      <c r="Q65" s="11">
        <f>Total_pos/Total_all</f>
        <v>0.21301247771836007</v>
      </c>
      <c r="R65" s="11">
        <f t="shared" si="5"/>
        <v>0.45316455696202529</v>
      </c>
      <c r="S65" s="11">
        <f t="shared" si="6"/>
        <v>641.84073111255066</v>
      </c>
    </row>
    <row r="66" spans="1:19">
      <c r="A66" s="2" t="s">
        <v>17</v>
      </c>
      <c r="B66" s="2" t="s">
        <v>16</v>
      </c>
      <c r="C66" s="2">
        <v>402</v>
      </c>
      <c r="D66" s="2">
        <v>181</v>
      </c>
      <c r="E66" s="2" t="s">
        <v>15</v>
      </c>
      <c r="F66" s="2">
        <v>0.03</v>
      </c>
      <c r="G66" s="2">
        <v>37.866</v>
      </c>
      <c r="H66" s="2">
        <v>45.024999999999999</v>
      </c>
      <c r="I66" s="2">
        <v>0.52900000000000003</v>
      </c>
      <c r="K66" s="5" t="b">
        <f>R66&gt;(Total_pos/Total_all)</f>
        <v>1</v>
      </c>
      <c r="L66" s="5"/>
      <c r="M66" s="11">
        <f>(D66/Total_pos)*100</f>
        <v>37.86610878661088</v>
      </c>
      <c r="N66" s="11">
        <f t="shared" si="4"/>
        <v>45.024875621890544</v>
      </c>
      <c r="O66" s="11">
        <f t="shared" si="1"/>
        <v>0.52870995933844034</v>
      </c>
      <c r="P66" s="5">
        <f>Total_all</f>
        <v>2244</v>
      </c>
      <c r="Q66" s="11">
        <f>Total_pos/Total_all</f>
        <v>0.21301247771836007</v>
      </c>
      <c r="R66" s="11">
        <f t="shared" si="5"/>
        <v>0.45024875621890548</v>
      </c>
      <c r="S66" s="11">
        <f t="shared" si="6"/>
        <v>627.27479215660242</v>
      </c>
    </row>
    <row r="67" spans="1:19">
      <c r="A67" s="1" t="s">
        <v>180</v>
      </c>
      <c r="B67" s="1" t="s">
        <v>14</v>
      </c>
      <c r="C67" s="1">
        <v>187</v>
      </c>
      <c r="D67" s="1">
        <v>81</v>
      </c>
      <c r="E67" s="1" t="s">
        <v>15</v>
      </c>
      <c r="F67" s="1">
        <v>1.9E-2</v>
      </c>
      <c r="G67" s="1">
        <v>16.946000000000002</v>
      </c>
      <c r="H67" s="1">
        <v>43.316000000000003</v>
      </c>
      <c r="I67" s="1">
        <v>0.49299999999999999</v>
      </c>
      <c r="K67" s="5" t="b">
        <f>R67&gt;(Total_pos/Total_all)</f>
        <v>1</v>
      </c>
      <c r="L67" s="5"/>
      <c r="M67" s="11">
        <f>(D67/Total_pos)*100</f>
        <v>16.94560669456067</v>
      </c>
      <c r="N67" s="11">
        <f t="shared" si="4"/>
        <v>43.315508021390379</v>
      </c>
      <c r="O67" s="11">
        <f t="shared" si="1"/>
        <v>0.4928138922567955</v>
      </c>
      <c r="P67" s="5">
        <f>Total_all</f>
        <v>2244</v>
      </c>
      <c r="Q67" s="11">
        <f>Total_pos/Total_all</f>
        <v>0.21301247771836007</v>
      </c>
      <c r="R67" s="11">
        <f t="shared" si="5"/>
        <v>0.43315508021390375</v>
      </c>
      <c r="S67" s="11">
        <f t="shared" si="6"/>
        <v>544.99025470850029</v>
      </c>
    </row>
    <row r="68" spans="1:19">
      <c r="A68" s="1" t="s">
        <v>178</v>
      </c>
      <c r="B68" s="1" t="s">
        <v>14</v>
      </c>
      <c r="C68" s="1">
        <v>14</v>
      </c>
      <c r="D68" s="1">
        <v>6</v>
      </c>
      <c r="E68" s="1" t="s">
        <v>15</v>
      </c>
      <c r="F68" s="1">
        <v>4.8000000000000001E-2</v>
      </c>
      <c r="G68" s="1">
        <v>1.2549999999999999</v>
      </c>
      <c r="H68" s="1">
        <v>42.856999999999999</v>
      </c>
      <c r="I68" s="1">
        <v>0.48299999999999998</v>
      </c>
      <c r="K68" s="5" t="b">
        <f>R68&gt;(Total_pos/Total_all)</f>
        <v>1</v>
      </c>
      <c r="L68" s="5"/>
      <c r="M68" s="11">
        <f>(D68/Total_pos)*100</f>
        <v>1.2552301255230125</v>
      </c>
      <c r="N68" s="11">
        <f t="shared" si="4"/>
        <v>42.857142857142854</v>
      </c>
      <c r="O68" s="11">
        <f t="shared" si="1"/>
        <v>0.48315286296362525</v>
      </c>
      <c r="P68" s="5">
        <f>Total_all</f>
        <v>2244</v>
      </c>
      <c r="Q68" s="11">
        <f>Total_pos/Total_all</f>
        <v>0.21301247771836007</v>
      </c>
      <c r="R68" s="11">
        <f t="shared" si="5"/>
        <v>0.42857142857142855</v>
      </c>
      <c r="S68" s="11">
        <f t="shared" si="6"/>
        <v>523.83193009344257</v>
      </c>
    </row>
    <row r="69" spans="1:19">
      <c r="A69" s="1" t="s">
        <v>177</v>
      </c>
      <c r="B69" s="1" t="s">
        <v>14</v>
      </c>
      <c r="C69" s="1">
        <v>14</v>
      </c>
      <c r="D69" s="1">
        <v>6</v>
      </c>
      <c r="E69" s="1" t="s">
        <v>15</v>
      </c>
      <c r="F69" s="1">
        <v>8.5999999999999993E-2</v>
      </c>
      <c r="G69" s="1">
        <v>1.2549999999999999</v>
      </c>
      <c r="H69" s="1">
        <v>42.856999999999999</v>
      </c>
      <c r="I69" s="1">
        <v>0.48299999999999998</v>
      </c>
      <c r="K69" s="5" t="b">
        <f>R69&gt;(Total_pos/Total_all)</f>
        <v>1</v>
      </c>
      <c r="L69" s="5"/>
      <c r="M69" s="11">
        <f>(D69/Total_pos)*100</f>
        <v>1.2552301255230125</v>
      </c>
      <c r="N69" s="11">
        <f t="shared" si="4"/>
        <v>42.857142857142854</v>
      </c>
      <c r="O69" s="11">
        <f t="shared" si="1"/>
        <v>0.48315286296362525</v>
      </c>
      <c r="P69" s="5">
        <f>Total_all</f>
        <v>2244</v>
      </c>
      <c r="Q69" s="11">
        <f>Total_pos/Total_all</f>
        <v>0.21301247771836007</v>
      </c>
      <c r="R69" s="11">
        <f t="shared" si="5"/>
        <v>0.42857142857142855</v>
      </c>
      <c r="S69" s="11">
        <f t="shared" si="6"/>
        <v>523.83193009344257</v>
      </c>
    </row>
    <row r="70" spans="1:19">
      <c r="A70" s="2" t="s">
        <v>176</v>
      </c>
      <c r="B70" s="2" t="s">
        <v>16</v>
      </c>
      <c r="C70" s="2">
        <v>28</v>
      </c>
      <c r="D70" s="2">
        <v>12</v>
      </c>
      <c r="E70" s="2" t="s">
        <v>15</v>
      </c>
      <c r="F70" s="2">
        <v>0.26100000000000001</v>
      </c>
      <c r="G70" s="2">
        <v>2.5099999999999998</v>
      </c>
      <c r="H70" s="2">
        <v>42.856999999999999</v>
      </c>
      <c r="I70" s="2">
        <v>0.48299999999999998</v>
      </c>
      <c r="K70" s="5" t="b">
        <f>R70&gt;(Total_pos/Total_all)</f>
        <v>1</v>
      </c>
      <c r="L70" s="5"/>
      <c r="M70" s="11">
        <f>(D70/Total_pos)*100</f>
        <v>2.510460251046025</v>
      </c>
      <c r="N70" s="11">
        <f t="shared" si="4"/>
        <v>42.857142857142854</v>
      </c>
      <c r="O70" s="11">
        <f t="shared" si="1"/>
        <v>0.48315286296362525</v>
      </c>
      <c r="P70" s="5">
        <f>Total_all</f>
        <v>2244</v>
      </c>
      <c r="Q70" s="11">
        <f>Total_pos/Total_all</f>
        <v>0.21301247771836007</v>
      </c>
      <c r="R70" s="11">
        <f t="shared" si="5"/>
        <v>0.42857142857142855</v>
      </c>
      <c r="S70" s="11">
        <f t="shared" si="6"/>
        <v>523.83193009344257</v>
      </c>
    </row>
    <row r="71" spans="1:19">
      <c r="A71" s="1" t="s">
        <v>179</v>
      </c>
      <c r="B71" s="1" t="s">
        <v>14</v>
      </c>
      <c r="C71" s="1">
        <v>14</v>
      </c>
      <c r="D71" s="1">
        <v>6</v>
      </c>
      <c r="E71" s="1" t="s">
        <v>15</v>
      </c>
      <c r="F71" s="1">
        <v>0.68600000000000005</v>
      </c>
      <c r="G71" s="1">
        <v>1.2549999999999999</v>
      </c>
      <c r="H71" s="1">
        <v>42.856999999999999</v>
      </c>
      <c r="I71" s="1">
        <v>0.48299999999999998</v>
      </c>
      <c r="K71" s="5" t="b">
        <f>R71&gt;(Total_pos/Total_all)</f>
        <v>1</v>
      </c>
      <c r="L71" s="5"/>
      <c r="M71" s="11">
        <f>(D71/Total_pos)*100</f>
        <v>1.2552301255230125</v>
      </c>
      <c r="N71" s="11">
        <f t="shared" si="4"/>
        <v>42.857142857142854</v>
      </c>
      <c r="O71" s="11">
        <f t="shared" si="1"/>
        <v>0.48315286296362525</v>
      </c>
      <c r="P71" s="5">
        <f>Total_all</f>
        <v>2244</v>
      </c>
      <c r="Q71" s="11">
        <f>Total_pos/Total_all</f>
        <v>0.21301247771836007</v>
      </c>
      <c r="R71" s="11">
        <f t="shared" si="5"/>
        <v>0.42857142857142855</v>
      </c>
      <c r="S71" s="11">
        <f t="shared" si="6"/>
        <v>523.83193009344257</v>
      </c>
    </row>
    <row r="72" spans="1:19">
      <c r="A72" s="2" t="s">
        <v>175</v>
      </c>
      <c r="B72" s="2" t="s">
        <v>16</v>
      </c>
      <c r="C72" s="2">
        <v>40</v>
      </c>
      <c r="D72" s="2">
        <v>17</v>
      </c>
      <c r="E72" s="2" t="s">
        <v>15</v>
      </c>
      <c r="F72" s="2">
        <v>6.4000000000000001E-2</v>
      </c>
      <c r="G72" s="2">
        <v>3.556</v>
      </c>
      <c r="H72" s="2">
        <v>42.5</v>
      </c>
      <c r="I72" s="2">
        <v>0.47599999999999998</v>
      </c>
      <c r="K72" s="5" t="b">
        <f>R72&gt;(Total_pos/Total_all)</f>
        <v>1</v>
      </c>
      <c r="L72" s="5"/>
      <c r="M72" s="11">
        <f>(D72/Total_pos)*100</f>
        <v>3.5564853556485359</v>
      </c>
      <c r="N72" s="11">
        <f t="shared" si="4"/>
        <v>42.5</v>
      </c>
      <c r="O72" s="11">
        <f t="shared" si="1"/>
        <v>0.47561429211849626</v>
      </c>
      <c r="P72" s="5">
        <f>Total_all</f>
        <v>2244</v>
      </c>
      <c r="Q72" s="11">
        <f>Total_pos/Total_all</f>
        <v>0.21301247771836007</v>
      </c>
      <c r="R72" s="11">
        <f t="shared" si="5"/>
        <v>0.42499999999999999</v>
      </c>
      <c r="S72" s="11">
        <f t="shared" si="6"/>
        <v>507.6128947223969</v>
      </c>
    </row>
    <row r="73" spans="1:19">
      <c r="A73" s="1" t="s">
        <v>174</v>
      </c>
      <c r="B73" s="1" t="s">
        <v>14</v>
      </c>
      <c r="C73" s="1">
        <v>34</v>
      </c>
      <c r="D73" s="1">
        <v>14</v>
      </c>
      <c r="E73" s="1" t="s">
        <v>15</v>
      </c>
      <c r="F73" s="1">
        <v>0.23799999999999999</v>
      </c>
      <c r="G73" s="1">
        <v>2.9289999999999998</v>
      </c>
      <c r="H73" s="1">
        <v>41.176000000000002</v>
      </c>
      <c r="I73" s="1">
        <v>0.44800000000000001</v>
      </c>
      <c r="K73" s="5" t="b">
        <f>R73&gt;(Total_pos/Total_all)</f>
        <v>1</v>
      </c>
      <c r="L73" s="5"/>
      <c r="M73" s="11">
        <f>(D73/Total_pos)*100</f>
        <v>2.9288702928870292</v>
      </c>
      <c r="N73" s="11">
        <f t="shared" si="4"/>
        <v>41.17647058823529</v>
      </c>
      <c r="O73" s="11">
        <f t="shared" si="1"/>
        <v>0.44758906024279072</v>
      </c>
      <c r="P73" s="5">
        <f>Total_all</f>
        <v>2244</v>
      </c>
      <c r="Q73" s="11">
        <f>Total_pos/Total_all</f>
        <v>0.21301247771836007</v>
      </c>
      <c r="R73" s="11">
        <f t="shared" si="5"/>
        <v>0.41176470588235292</v>
      </c>
      <c r="S73" s="11">
        <f t="shared" si="6"/>
        <v>449.55390960921108</v>
      </c>
    </row>
    <row r="74" spans="1:19">
      <c r="A74" s="2" t="s">
        <v>173</v>
      </c>
      <c r="B74" s="2" t="s">
        <v>16</v>
      </c>
      <c r="C74" s="2">
        <v>88</v>
      </c>
      <c r="D74" s="2">
        <v>36</v>
      </c>
      <c r="E74" s="2" t="s">
        <v>15</v>
      </c>
      <c r="F74" s="4">
        <v>-7.0000000000000001E-3</v>
      </c>
      <c r="G74" s="2">
        <v>7.5309999999999997</v>
      </c>
      <c r="H74" s="2">
        <v>40.908999999999999</v>
      </c>
      <c r="I74" s="2">
        <v>0.442</v>
      </c>
      <c r="K74" s="5" t="b">
        <f>R74&gt;(Total_pos/Total_all)</f>
        <v>1</v>
      </c>
      <c r="L74" s="5"/>
      <c r="M74" s="11">
        <f>(D74/Total_pos)*100</f>
        <v>7.5313807531380759</v>
      </c>
      <c r="N74" s="11">
        <f t="shared" si="4"/>
        <v>40.909090909090914</v>
      </c>
      <c r="O74" s="11">
        <f t="shared" si="1"/>
        <v>0.44190982088348812</v>
      </c>
      <c r="P74" s="5">
        <f>Total_all</f>
        <v>2244</v>
      </c>
      <c r="Q74" s="11">
        <f>Total_pos/Total_all</f>
        <v>0.21301247771836007</v>
      </c>
      <c r="R74" s="11">
        <f t="shared" si="5"/>
        <v>0.40909090909090912</v>
      </c>
      <c r="S74" s="11">
        <f t="shared" si="6"/>
        <v>438.21794629611259</v>
      </c>
    </row>
    <row r="75" spans="1:19">
      <c r="A75" s="2" t="s">
        <v>18</v>
      </c>
      <c r="B75" s="2" t="s">
        <v>16</v>
      </c>
      <c r="C75" s="2">
        <v>88</v>
      </c>
      <c r="D75" s="2">
        <v>36</v>
      </c>
      <c r="E75" s="2" t="s">
        <v>15</v>
      </c>
      <c r="F75" s="4">
        <v>-4.0000000000000001E-3</v>
      </c>
      <c r="G75" s="2">
        <v>7.5309999999999997</v>
      </c>
      <c r="H75" s="2">
        <v>40.908999999999999</v>
      </c>
      <c r="I75" s="2">
        <v>0.442</v>
      </c>
      <c r="K75" s="5" t="b">
        <f>R75&gt;(Total_pos/Total_all)</f>
        <v>1</v>
      </c>
      <c r="L75" s="5"/>
      <c r="M75" s="11">
        <f>(D75/Total_pos)*100</f>
        <v>7.5313807531380759</v>
      </c>
      <c r="N75" s="11">
        <f t="shared" si="4"/>
        <v>40.909090909090914</v>
      </c>
      <c r="O75" s="11">
        <f t="shared" si="1"/>
        <v>0.44190982088348812</v>
      </c>
      <c r="P75" s="5">
        <f>Total_all</f>
        <v>2244</v>
      </c>
      <c r="Q75" s="11">
        <f>Total_pos/Total_all</f>
        <v>0.21301247771836007</v>
      </c>
      <c r="R75" s="11">
        <f t="shared" si="5"/>
        <v>0.40909090909090912</v>
      </c>
      <c r="S75" s="11">
        <f t="shared" si="6"/>
        <v>438.21794629611259</v>
      </c>
    </row>
    <row r="76" spans="1:19">
      <c r="A76" s="1" t="s">
        <v>172</v>
      </c>
      <c r="B76" s="1" t="s">
        <v>14</v>
      </c>
      <c r="C76" s="1">
        <v>157</v>
      </c>
      <c r="D76" s="1">
        <v>64</v>
      </c>
      <c r="E76" s="1" t="s">
        <v>15</v>
      </c>
      <c r="F76" s="1">
        <v>3.5000000000000003E-2</v>
      </c>
      <c r="G76" s="1">
        <v>13.388999999999999</v>
      </c>
      <c r="H76" s="1">
        <v>40.764000000000003</v>
      </c>
      <c r="I76" s="1">
        <v>0.439</v>
      </c>
      <c r="K76" s="5" t="b">
        <f>R76&gt;(Total_pos/Total_all)</f>
        <v>1</v>
      </c>
      <c r="L76" s="5"/>
      <c r="M76" s="11">
        <f>(D76/Total_pos)*100</f>
        <v>13.389121338912133</v>
      </c>
      <c r="N76" s="11">
        <f t="shared" si="4"/>
        <v>40.764331210191088</v>
      </c>
      <c r="O76" s="11">
        <f t="shared" si="1"/>
        <v>0.4388325173282831</v>
      </c>
      <c r="P76" s="5">
        <f>Total_all</f>
        <v>2244</v>
      </c>
      <c r="Q76" s="11">
        <f>Total_pos/Total_all</f>
        <v>0.21301247771836007</v>
      </c>
      <c r="R76" s="11">
        <f t="shared" si="5"/>
        <v>0.40764331210191085</v>
      </c>
      <c r="S76" s="11">
        <f t="shared" si="6"/>
        <v>432.13600722593713</v>
      </c>
    </row>
    <row r="77" spans="1:19">
      <c r="A77" s="1" t="s">
        <v>171</v>
      </c>
      <c r="B77" s="1" t="s">
        <v>14</v>
      </c>
      <c r="C77" s="1">
        <v>108</v>
      </c>
      <c r="D77" s="1">
        <v>44</v>
      </c>
      <c r="E77" s="1" t="s">
        <v>15</v>
      </c>
      <c r="F77" s="1">
        <v>0.08</v>
      </c>
      <c r="G77" s="1">
        <v>9.2050000000000001</v>
      </c>
      <c r="H77" s="1">
        <v>40.741</v>
      </c>
      <c r="I77" s="1">
        <v>0.438</v>
      </c>
      <c r="K77" s="5" t="b">
        <f>R77&gt;(Total_pos/Total_all)</f>
        <v>1</v>
      </c>
      <c r="L77" s="5"/>
      <c r="M77" s="11">
        <f>(D77/Total_pos)*100</f>
        <v>9.2050209205020916</v>
      </c>
      <c r="N77" s="11">
        <f t="shared" si="4"/>
        <v>40.74074074074074</v>
      </c>
      <c r="O77" s="11">
        <f t="shared" si="1"/>
        <v>0.43833085912466341</v>
      </c>
      <c r="P77" s="5">
        <f>Total_all</f>
        <v>2244</v>
      </c>
      <c r="Q77" s="11">
        <f>Total_pos/Total_all</f>
        <v>0.21301247771836007</v>
      </c>
      <c r="R77" s="11">
        <f t="shared" si="5"/>
        <v>0.40740740740740738</v>
      </c>
      <c r="S77" s="11">
        <f t="shared" si="6"/>
        <v>431.14856598480662</v>
      </c>
    </row>
    <row r="78" spans="1:19">
      <c r="A78" s="1" t="s">
        <v>170</v>
      </c>
      <c r="B78" s="1" t="s">
        <v>14</v>
      </c>
      <c r="C78" s="1">
        <v>96</v>
      </c>
      <c r="D78" s="1">
        <v>39</v>
      </c>
      <c r="E78" s="1" t="s">
        <v>15</v>
      </c>
      <c r="F78" s="1">
        <v>0.104</v>
      </c>
      <c r="G78" s="1">
        <v>8.1590000000000007</v>
      </c>
      <c r="H78" s="1">
        <v>40.625</v>
      </c>
      <c r="I78" s="1">
        <v>0.436</v>
      </c>
      <c r="K78" s="5" t="b">
        <f>R78&gt;(Total_pos/Total_all)</f>
        <v>1</v>
      </c>
      <c r="L78" s="5"/>
      <c r="M78" s="11">
        <f>(D78/Total_pos)*100</f>
        <v>8.1589958158995817</v>
      </c>
      <c r="N78" s="11">
        <f t="shared" si="4"/>
        <v>40.625</v>
      </c>
      <c r="O78" s="11">
        <f t="shared" si="1"/>
        <v>0.43586889726375516</v>
      </c>
      <c r="P78" s="5">
        <f>Total_all</f>
        <v>2244</v>
      </c>
      <c r="Q78" s="11">
        <f>Total_pos/Total_all</f>
        <v>0.21301247771836007</v>
      </c>
      <c r="R78" s="11">
        <f t="shared" si="5"/>
        <v>0.40625</v>
      </c>
      <c r="S78" s="11">
        <f t="shared" si="6"/>
        <v>426.31892493071291</v>
      </c>
    </row>
    <row r="79" spans="1:19">
      <c r="A79" s="1" t="s">
        <v>169</v>
      </c>
      <c r="B79" s="1" t="s">
        <v>14</v>
      </c>
      <c r="C79" s="1">
        <v>149</v>
      </c>
      <c r="D79" s="1">
        <v>60</v>
      </c>
      <c r="E79" s="1" t="s">
        <v>15</v>
      </c>
      <c r="F79" s="1">
        <v>0.28199999999999997</v>
      </c>
      <c r="G79" s="1">
        <v>12.552</v>
      </c>
      <c r="H79" s="1">
        <v>40.268000000000001</v>
      </c>
      <c r="I79" s="1">
        <v>0.42799999999999999</v>
      </c>
      <c r="K79" s="5" t="b">
        <f>R79&gt;(Total_pos/Total_all)</f>
        <v>1</v>
      </c>
      <c r="L79" s="5"/>
      <c r="M79" s="11">
        <f>(D79/Total_pos)*100</f>
        <v>12.552301255230125</v>
      </c>
      <c r="N79" s="11">
        <f t="shared" si="4"/>
        <v>40.268456375838923</v>
      </c>
      <c r="O79" s="11">
        <f t="shared" si="1"/>
        <v>0.42827733456934197</v>
      </c>
      <c r="P79" s="5">
        <f>Total_all</f>
        <v>2244</v>
      </c>
      <c r="Q79" s="11">
        <f>Total_pos/Total_all</f>
        <v>0.21301247771836007</v>
      </c>
      <c r="R79" s="11">
        <f t="shared" si="5"/>
        <v>0.40268456375838924</v>
      </c>
      <c r="S79" s="11">
        <f t="shared" si="6"/>
        <v>411.59779058626026</v>
      </c>
    </row>
    <row r="80" spans="1:19">
      <c r="A80" s="4" t="s">
        <v>96</v>
      </c>
      <c r="B80" s="4" t="s">
        <v>16</v>
      </c>
      <c r="C80" s="4">
        <v>63</v>
      </c>
      <c r="D80" s="4">
        <v>4</v>
      </c>
      <c r="E80" s="4" t="s">
        <v>22</v>
      </c>
      <c r="F80" s="4">
        <v>-0.41199999999999998</v>
      </c>
      <c r="G80" s="4">
        <v>3.3410000000000002</v>
      </c>
      <c r="H80" s="4">
        <v>93.650999999999996</v>
      </c>
      <c r="I80" s="4">
        <v>0.41499999999999998</v>
      </c>
      <c r="K80" s="5" t="b">
        <f>R80&gt;(Total_pos/Total_all)</f>
        <v>0</v>
      </c>
      <c r="L80" s="5"/>
      <c r="M80" s="11">
        <f>(D80/Total_pos)*100</f>
        <v>0.83682008368200833</v>
      </c>
      <c r="N80" s="11">
        <f t="shared" si="4"/>
        <v>6.3492063492063489</v>
      </c>
      <c r="O80" s="11">
        <f t="shared" si="1"/>
        <v>0.414845438882743</v>
      </c>
      <c r="P80" s="5">
        <f>Total_all</f>
        <v>2244</v>
      </c>
      <c r="Q80" s="11">
        <f>Total_pos/Total_all</f>
        <v>0.21301247771836007</v>
      </c>
      <c r="R80" s="11">
        <f t="shared" si="5"/>
        <v>6.3492063492063489E-2</v>
      </c>
      <c r="S80" s="11">
        <f t="shared" si="6"/>
        <v>386.18508043511429</v>
      </c>
    </row>
    <row r="81" spans="1:19">
      <c r="A81" s="4" t="s">
        <v>95</v>
      </c>
      <c r="B81" s="4" t="s">
        <v>16</v>
      </c>
      <c r="C81" s="4">
        <v>45</v>
      </c>
      <c r="D81" s="4">
        <v>3</v>
      </c>
      <c r="E81" s="4" t="s">
        <v>22</v>
      </c>
      <c r="F81" s="4">
        <v>-0.69299999999999995</v>
      </c>
      <c r="G81" s="4">
        <v>2.3780000000000001</v>
      </c>
      <c r="H81" s="4">
        <v>93.332999999999998</v>
      </c>
      <c r="I81" s="4">
        <v>0.40400000000000003</v>
      </c>
      <c r="K81" s="5" t="b">
        <f>R81&gt;(Total_pos/Total_all)</f>
        <v>0</v>
      </c>
      <c r="L81" s="5"/>
      <c r="M81" s="11">
        <f>(D81/Total_pos)*100</f>
        <v>0.62761506276150625</v>
      </c>
      <c r="N81" s="11">
        <f t="shared" si="4"/>
        <v>6.666666666666667</v>
      </c>
      <c r="O81" s="11">
        <f t="shared" si="1"/>
        <v>0.40431910317357711</v>
      </c>
      <c r="P81" s="5">
        <f>Total_all</f>
        <v>2244</v>
      </c>
      <c r="Q81" s="11">
        <f>Total_pos/Total_all</f>
        <v>0.21301247771836007</v>
      </c>
      <c r="R81" s="11">
        <f t="shared" si="5"/>
        <v>6.6666666666666666E-2</v>
      </c>
      <c r="S81" s="11">
        <f t="shared" si="6"/>
        <v>366.83551505679628</v>
      </c>
    </row>
    <row r="82" spans="1:19">
      <c r="A82" s="2" t="s">
        <v>168</v>
      </c>
      <c r="B82" s="2" t="s">
        <v>16</v>
      </c>
      <c r="C82" s="2">
        <v>64</v>
      </c>
      <c r="D82" s="2">
        <v>25</v>
      </c>
      <c r="E82" s="2" t="s">
        <v>15</v>
      </c>
      <c r="F82" s="2">
        <v>5.0999999999999997E-2</v>
      </c>
      <c r="G82" s="2">
        <v>5.23</v>
      </c>
      <c r="H82" s="2">
        <v>39.061999999999998</v>
      </c>
      <c r="I82" s="2">
        <v>0.40300000000000002</v>
      </c>
      <c r="K82" s="5" t="b">
        <f>R82&gt;(Total_pos/Total_all)</f>
        <v>1</v>
      </c>
      <c r="L82" s="5"/>
      <c r="M82" s="11">
        <f>(D82/Total_pos)*100</f>
        <v>5.2301255230125516</v>
      </c>
      <c r="N82" s="11">
        <f t="shared" si="4"/>
        <v>39.0625</v>
      </c>
      <c r="O82" s="11">
        <f t="shared" si="1"/>
        <v>0.40251429994741694</v>
      </c>
      <c r="P82" s="5">
        <f>Total_all</f>
        <v>2244</v>
      </c>
      <c r="Q82" s="11">
        <f>Total_pos/Total_all</f>
        <v>0.21301247771836007</v>
      </c>
      <c r="R82" s="11">
        <f t="shared" si="5"/>
        <v>0.390625</v>
      </c>
      <c r="S82" s="11">
        <f t="shared" si="6"/>
        <v>363.56785716988514</v>
      </c>
    </row>
    <row r="83" spans="1:19">
      <c r="A83" s="1" t="s">
        <v>167</v>
      </c>
      <c r="B83" s="1" t="s">
        <v>14</v>
      </c>
      <c r="C83" s="1">
        <v>274</v>
      </c>
      <c r="D83" s="1">
        <v>106</v>
      </c>
      <c r="E83" s="1" t="s">
        <v>15</v>
      </c>
      <c r="F83" s="1">
        <v>1.9E-2</v>
      </c>
      <c r="G83" s="1">
        <v>22.175999999999998</v>
      </c>
      <c r="H83" s="1">
        <v>38.686</v>
      </c>
      <c r="I83" s="1">
        <v>0.39400000000000002</v>
      </c>
      <c r="K83" s="5" t="b">
        <f>R83&gt;(Total_pos/Total_all)</f>
        <v>1</v>
      </c>
      <c r="L83" s="5"/>
      <c r="M83" s="11">
        <f>(D83/Total_pos)*100</f>
        <v>22.17573221757322</v>
      </c>
      <c r="N83" s="11">
        <f t="shared" si="4"/>
        <v>38.686131386861319</v>
      </c>
      <c r="O83" s="11">
        <f t="shared" si="1"/>
        <v>0.39444571426459457</v>
      </c>
      <c r="P83" s="5">
        <f>Total_all</f>
        <v>2244</v>
      </c>
      <c r="Q83" s="11">
        <f>Total_pos/Total_all</f>
        <v>0.21301247771836007</v>
      </c>
      <c r="R83" s="11">
        <f t="shared" si="5"/>
        <v>0.38686131386861317</v>
      </c>
      <c r="S83" s="11">
        <f t="shared" si="6"/>
        <v>349.13817384982866</v>
      </c>
    </row>
    <row r="84" spans="1:19">
      <c r="A84" s="1" t="s">
        <v>166</v>
      </c>
      <c r="B84" s="1" t="s">
        <v>14</v>
      </c>
      <c r="C84" s="1">
        <v>264</v>
      </c>
      <c r="D84" s="1">
        <v>102</v>
      </c>
      <c r="E84" s="1" t="s">
        <v>15</v>
      </c>
      <c r="F84" s="1">
        <v>0.08</v>
      </c>
      <c r="G84" s="1">
        <v>21.338999999999999</v>
      </c>
      <c r="H84" s="1">
        <v>38.636000000000003</v>
      </c>
      <c r="I84" s="1">
        <v>0.39300000000000002</v>
      </c>
      <c r="K84" s="5" t="b">
        <f>R84&gt;(Total_pos/Total_all)</f>
        <v>1</v>
      </c>
      <c r="L84" s="5"/>
      <c r="M84" s="11">
        <f>(D84/Total_pos)*100</f>
        <v>21.338912133891213</v>
      </c>
      <c r="N84" s="11">
        <f t="shared" si="4"/>
        <v>38.636363636363633</v>
      </c>
      <c r="O84" s="11">
        <f t="shared" si="1"/>
        <v>0.39337775779214706</v>
      </c>
      <c r="P84" s="5">
        <f>Total_all</f>
        <v>2244</v>
      </c>
      <c r="Q84" s="11">
        <f>Total_pos/Total_all</f>
        <v>0.21301247771836007</v>
      </c>
      <c r="R84" s="11">
        <f t="shared" si="5"/>
        <v>0.38636363636363635</v>
      </c>
      <c r="S84" s="11">
        <f t="shared" si="6"/>
        <v>347.2501593705951</v>
      </c>
    </row>
    <row r="85" spans="1:19">
      <c r="A85" s="4" t="s">
        <v>94</v>
      </c>
      <c r="B85" s="4" t="s">
        <v>16</v>
      </c>
      <c r="C85" s="4">
        <v>109</v>
      </c>
      <c r="D85" s="4">
        <v>8</v>
      </c>
      <c r="E85" s="4" t="s">
        <v>22</v>
      </c>
      <c r="F85" s="4">
        <v>-0.12</v>
      </c>
      <c r="G85" s="4">
        <v>5.7190000000000003</v>
      </c>
      <c r="H85" s="4">
        <v>92.661000000000001</v>
      </c>
      <c r="I85" s="4">
        <v>0.38200000000000001</v>
      </c>
      <c r="K85" s="5" t="b">
        <f>R85&gt;(Total_pos/Total_all)</f>
        <v>0</v>
      </c>
      <c r="L85" s="5"/>
      <c r="M85" s="11">
        <f>(D85/Total_pos)*100</f>
        <v>1.6736401673640167</v>
      </c>
      <c r="N85" s="11">
        <f t="shared" si="4"/>
        <v>7.3394495412844041</v>
      </c>
      <c r="O85" s="11">
        <f t="shared" si="1"/>
        <v>0.38243193501217704</v>
      </c>
      <c r="P85" s="5">
        <f>Total_all</f>
        <v>2244</v>
      </c>
      <c r="Q85" s="11">
        <f>Total_pos/Total_all</f>
        <v>0.21301247771836007</v>
      </c>
      <c r="R85" s="11">
        <f t="shared" si="5"/>
        <v>7.3394495412844041E-2</v>
      </c>
      <c r="S85" s="11">
        <f t="shared" si="6"/>
        <v>328.19439095410257</v>
      </c>
    </row>
    <row r="86" spans="1:19">
      <c r="A86" s="4" t="s">
        <v>93</v>
      </c>
      <c r="B86" s="4" t="s">
        <v>16</v>
      </c>
      <c r="C86" s="4">
        <v>68</v>
      </c>
      <c r="D86" s="4">
        <v>5</v>
      </c>
      <c r="E86" s="4" t="s">
        <v>22</v>
      </c>
      <c r="F86" s="4">
        <v>-6.0000000000000001E-3</v>
      </c>
      <c r="G86" s="4">
        <v>3.5670000000000002</v>
      </c>
      <c r="H86" s="4">
        <v>92.647000000000006</v>
      </c>
      <c r="I86" s="4">
        <v>0.38200000000000001</v>
      </c>
      <c r="K86" s="5" t="b">
        <f>R86&gt;(Total_pos/Total_all)</f>
        <v>0</v>
      </c>
      <c r="L86" s="5"/>
      <c r="M86" s="11">
        <f>(D86/Total_pos)*100</f>
        <v>1.0460251046025104</v>
      </c>
      <c r="N86" s="11">
        <f t="shared" si="4"/>
        <v>7.3529411764705888</v>
      </c>
      <c r="O86" s="11">
        <f t="shared" si="1"/>
        <v>0.38199853051666877</v>
      </c>
      <c r="P86" s="5">
        <f>Total_all</f>
        <v>2244</v>
      </c>
      <c r="Q86" s="11">
        <f>Total_pos/Total_all</f>
        <v>0.21301247771836007</v>
      </c>
      <c r="R86" s="11">
        <f t="shared" si="5"/>
        <v>7.3529411764705885E-2</v>
      </c>
      <c r="S86" s="11">
        <f t="shared" si="6"/>
        <v>327.45093669911085</v>
      </c>
    </row>
    <row r="87" spans="1:19">
      <c r="A87" s="4" t="s">
        <v>92</v>
      </c>
      <c r="B87" s="4" t="s">
        <v>16</v>
      </c>
      <c r="C87" s="4">
        <v>80</v>
      </c>
      <c r="D87" s="4">
        <v>6</v>
      </c>
      <c r="E87" s="4" t="s">
        <v>22</v>
      </c>
      <c r="F87" s="4">
        <v>-0.35</v>
      </c>
      <c r="G87" s="4">
        <v>4.1900000000000004</v>
      </c>
      <c r="H87" s="4">
        <v>92.5</v>
      </c>
      <c r="I87" s="4">
        <v>0.377</v>
      </c>
      <c r="K87" s="5" t="b">
        <f>R87&gt;(Total_pos/Total_all)</f>
        <v>0</v>
      </c>
      <c r="L87" s="5"/>
      <c r="M87" s="11">
        <f>(D87/Total_pos)*100</f>
        <v>1.2552301255230125</v>
      </c>
      <c r="N87" s="11">
        <f t="shared" si="4"/>
        <v>7.5</v>
      </c>
      <c r="O87" s="11">
        <f t="shared" si="1"/>
        <v>0.37728781019586344</v>
      </c>
      <c r="P87" s="5">
        <f>Total_all</f>
        <v>2244</v>
      </c>
      <c r="Q87" s="11">
        <f>Total_pos/Total_all</f>
        <v>0.21301247771836007</v>
      </c>
      <c r="R87" s="11">
        <f t="shared" si="5"/>
        <v>7.4999999999999997E-2</v>
      </c>
      <c r="S87" s="11">
        <f t="shared" si="6"/>
        <v>319.42462982504287</v>
      </c>
    </row>
    <row r="88" spans="1:19">
      <c r="A88" s="1" t="s">
        <v>165</v>
      </c>
      <c r="B88" s="1" t="s">
        <v>14</v>
      </c>
      <c r="C88" s="1">
        <v>96</v>
      </c>
      <c r="D88" s="1">
        <v>36</v>
      </c>
      <c r="E88" s="1" t="s">
        <v>15</v>
      </c>
      <c r="F88" s="1">
        <v>0.188</v>
      </c>
      <c r="G88" s="1">
        <v>7.5309999999999997</v>
      </c>
      <c r="H88" s="1">
        <v>37.5</v>
      </c>
      <c r="I88" s="1">
        <v>0.36899999999999999</v>
      </c>
      <c r="K88" s="5" t="b">
        <f>R88&gt;(Total_pos/Total_all)</f>
        <v>1</v>
      </c>
      <c r="L88" s="5"/>
      <c r="M88" s="11">
        <f>(D88/Total_pos)*100</f>
        <v>7.5313807531380759</v>
      </c>
      <c r="N88" s="11">
        <f t="shared" si="4"/>
        <v>37.5</v>
      </c>
      <c r="O88" s="11">
        <f t="shared" si="1"/>
        <v>0.36892483129458248</v>
      </c>
      <c r="P88" s="5">
        <f>Total_all</f>
        <v>2244</v>
      </c>
      <c r="Q88" s="11">
        <f>Total_pos/Total_all</f>
        <v>0.21301247771836007</v>
      </c>
      <c r="R88" s="11">
        <f t="shared" si="5"/>
        <v>0.375</v>
      </c>
      <c r="S88" s="11">
        <f t="shared" si="6"/>
        <v>305.42081189103192</v>
      </c>
    </row>
    <row r="89" spans="1:19">
      <c r="A89" s="1" t="s">
        <v>19</v>
      </c>
      <c r="B89" s="1" t="s">
        <v>14</v>
      </c>
      <c r="C89" s="1">
        <v>24</v>
      </c>
      <c r="D89" s="1">
        <v>9</v>
      </c>
      <c r="E89" s="1" t="s">
        <v>15</v>
      </c>
      <c r="F89" s="1">
        <v>0.309</v>
      </c>
      <c r="G89" s="1">
        <v>1.883</v>
      </c>
      <c r="H89" s="1">
        <v>37.5</v>
      </c>
      <c r="I89" s="1">
        <v>0.36899999999999999</v>
      </c>
      <c r="K89" s="5" t="b">
        <f>R89&gt;(Total_pos/Total_all)</f>
        <v>1</v>
      </c>
      <c r="L89" s="5"/>
      <c r="M89" s="11">
        <f>(D89/Total_pos)*100</f>
        <v>1.882845188284519</v>
      </c>
      <c r="N89" s="11">
        <f t="shared" si="4"/>
        <v>37.5</v>
      </c>
      <c r="O89" s="11">
        <f t="shared" si="1"/>
        <v>0.36892483129458248</v>
      </c>
      <c r="P89" s="5">
        <f>Total_all</f>
        <v>2244</v>
      </c>
      <c r="Q89" s="11">
        <f>Total_pos/Total_all</f>
        <v>0.21301247771836007</v>
      </c>
      <c r="R89" s="11">
        <f t="shared" si="5"/>
        <v>0.375</v>
      </c>
      <c r="S89" s="11">
        <f t="shared" si="6"/>
        <v>305.42081189103192</v>
      </c>
    </row>
    <row r="90" spans="1:19">
      <c r="A90" s="1" t="s">
        <v>164</v>
      </c>
      <c r="B90" s="1" t="s">
        <v>14</v>
      </c>
      <c r="C90" s="1">
        <v>102</v>
      </c>
      <c r="D90" s="1">
        <v>38</v>
      </c>
      <c r="E90" s="1" t="s">
        <v>15</v>
      </c>
      <c r="F90" s="3">
        <v>-0.112</v>
      </c>
      <c r="G90" s="1">
        <v>7.95</v>
      </c>
      <c r="H90" s="1">
        <v>37.255000000000003</v>
      </c>
      <c r="I90" s="1">
        <v>0.36399999999999999</v>
      </c>
      <c r="K90" s="5" t="b">
        <f>R90&gt;(Total_pos/Total_all)</f>
        <v>1</v>
      </c>
      <c r="L90" s="5"/>
      <c r="M90" s="11">
        <f>(D90/Total_pos)*100</f>
        <v>7.9497907949790791</v>
      </c>
      <c r="N90" s="11">
        <f t="shared" si="4"/>
        <v>37.254901960784316</v>
      </c>
      <c r="O90" s="11">
        <f t="shared" si="1"/>
        <v>0.36363312199503373</v>
      </c>
      <c r="P90" s="5">
        <f>Total_all</f>
        <v>2244</v>
      </c>
      <c r="Q90" s="11">
        <f>Total_pos/Total_all</f>
        <v>0.21301247771836007</v>
      </c>
      <c r="R90" s="11">
        <f t="shared" si="5"/>
        <v>0.37254901960784315</v>
      </c>
      <c r="S90" s="11">
        <f t="shared" si="6"/>
        <v>296.72198239220285</v>
      </c>
    </row>
    <row r="91" spans="1:19">
      <c r="A91" s="1" t="s">
        <v>163</v>
      </c>
      <c r="B91" s="1" t="s">
        <v>14</v>
      </c>
      <c r="C91" s="1">
        <v>329</v>
      </c>
      <c r="D91" s="1">
        <v>122</v>
      </c>
      <c r="E91" s="1" t="s">
        <v>15</v>
      </c>
      <c r="F91" s="1">
        <v>1.9E-2</v>
      </c>
      <c r="G91" s="1">
        <v>25.523</v>
      </c>
      <c r="H91" s="1">
        <v>37.082000000000001</v>
      </c>
      <c r="I91" s="1">
        <v>0.36</v>
      </c>
      <c r="K91" s="5" t="b">
        <f>R91&gt;(Total_pos/Total_all)</f>
        <v>1</v>
      </c>
      <c r="L91" s="5"/>
      <c r="M91" s="11">
        <f>(D91/Total_pos)*100</f>
        <v>25.523012552301257</v>
      </c>
      <c r="N91" s="11">
        <f t="shared" si="4"/>
        <v>37.08206686930091</v>
      </c>
      <c r="O91" s="11">
        <f t="shared" si="1"/>
        <v>0.35989772375350881</v>
      </c>
      <c r="P91" s="5">
        <f>Total_all</f>
        <v>2244</v>
      </c>
      <c r="Q91" s="11">
        <f>Total_pos/Total_all</f>
        <v>0.21301247771836007</v>
      </c>
      <c r="R91" s="11">
        <f t="shared" si="5"/>
        <v>0.37082066869300911</v>
      </c>
      <c r="S91" s="11">
        <f t="shared" si="6"/>
        <v>290.65717778727537</v>
      </c>
    </row>
    <row r="92" spans="1:19">
      <c r="A92" s="4" t="s">
        <v>91</v>
      </c>
      <c r="B92" s="4" t="s">
        <v>16</v>
      </c>
      <c r="C92" s="4">
        <v>96</v>
      </c>
      <c r="D92" s="4">
        <v>8</v>
      </c>
      <c r="E92" s="4" t="s">
        <v>22</v>
      </c>
      <c r="F92" s="4">
        <v>-5.7000000000000002E-2</v>
      </c>
      <c r="G92" s="4">
        <v>4.9829999999999997</v>
      </c>
      <c r="H92" s="4">
        <v>91.667000000000002</v>
      </c>
      <c r="I92" s="4">
        <v>0.35099999999999998</v>
      </c>
      <c r="K92" s="5" t="b">
        <f>R92&gt;(Total_pos/Total_all)</f>
        <v>0</v>
      </c>
      <c r="L92" s="5"/>
      <c r="M92" s="11">
        <f>(D92/Total_pos)*100</f>
        <v>1.6736401673640167</v>
      </c>
      <c r="N92" s="11">
        <f t="shared" si="4"/>
        <v>8.3333333333333321</v>
      </c>
      <c r="O92" s="11">
        <f t="shared" si="1"/>
        <v>0.35103287541736522</v>
      </c>
      <c r="P92" s="5">
        <f>Total_all</f>
        <v>2244</v>
      </c>
      <c r="Q92" s="11">
        <f>Total_pos/Total_all</f>
        <v>0.21301247771836007</v>
      </c>
      <c r="R92" s="11">
        <f t="shared" si="5"/>
        <v>8.3333333333333329E-2</v>
      </c>
      <c r="S92" s="11">
        <f t="shared" si="6"/>
        <v>276.51483467577009</v>
      </c>
    </row>
    <row r="93" spans="1:19">
      <c r="A93" s="4" t="s">
        <v>90</v>
      </c>
      <c r="B93" s="4" t="s">
        <v>16</v>
      </c>
      <c r="C93" s="4">
        <v>179</v>
      </c>
      <c r="D93" s="4">
        <v>15</v>
      </c>
      <c r="E93" s="4" t="s">
        <v>22</v>
      </c>
      <c r="F93" s="4">
        <v>-1.9E-2</v>
      </c>
      <c r="G93" s="4">
        <v>9.2870000000000008</v>
      </c>
      <c r="H93" s="4">
        <v>91.62</v>
      </c>
      <c r="I93" s="4">
        <v>0.35</v>
      </c>
      <c r="K93" s="5" t="b">
        <f>R93&gt;(Total_pos/Total_all)</f>
        <v>0</v>
      </c>
      <c r="L93" s="5"/>
      <c r="M93" s="11">
        <f>(D93/Total_pos)*100</f>
        <v>3.1380753138075312</v>
      </c>
      <c r="N93" s="11">
        <f t="shared" si="4"/>
        <v>8.3798882681564244</v>
      </c>
      <c r="O93" s="11">
        <f t="shared" si="1"/>
        <v>0.34958697361694041</v>
      </c>
      <c r="P93" s="5">
        <f>Total_all</f>
        <v>2244</v>
      </c>
      <c r="Q93" s="11">
        <f>Total_pos/Total_all</f>
        <v>0.21301247771836007</v>
      </c>
      <c r="R93" s="11">
        <f t="shared" si="5"/>
        <v>8.3798882681564241E-2</v>
      </c>
      <c r="S93" s="11">
        <f t="shared" si="6"/>
        <v>274.24160096322976</v>
      </c>
    </row>
    <row r="94" spans="1:19">
      <c r="A94" s="3" t="s">
        <v>89</v>
      </c>
      <c r="B94" s="3" t="s">
        <v>14</v>
      </c>
      <c r="C94" s="3">
        <v>33</v>
      </c>
      <c r="D94" s="3">
        <v>3</v>
      </c>
      <c r="E94" s="3" t="s">
        <v>22</v>
      </c>
      <c r="F94" s="3">
        <v>-0.40600000000000003</v>
      </c>
      <c r="G94" s="3">
        <v>1.6990000000000001</v>
      </c>
      <c r="H94" s="3">
        <v>90.909000000000006</v>
      </c>
      <c r="I94" s="3">
        <v>0.32800000000000001</v>
      </c>
      <c r="K94" s="5" t="b">
        <f>R94&gt;(Total_pos/Total_all)</f>
        <v>0</v>
      </c>
      <c r="L94" s="5"/>
      <c r="M94" s="11">
        <f>(D94/Total_pos)*100</f>
        <v>0.62761506276150625</v>
      </c>
      <c r="N94" s="11">
        <f t="shared" si="4"/>
        <v>9.0909090909090917</v>
      </c>
      <c r="O94" s="11">
        <f t="shared" si="1"/>
        <v>0.32775720451032542</v>
      </c>
      <c r="P94" s="5">
        <f>Total_all</f>
        <v>2244</v>
      </c>
      <c r="Q94" s="11">
        <f>Total_pos/Total_all</f>
        <v>0.21301247771836007</v>
      </c>
      <c r="R94" s="11">
        <f t="shared" si="5"/>
        <v>9.0909090909090912E-2</v>
      </c>
      <c r="S94" s="11">
        <f t="shared" si="6"/>
        <v>241.0612177833018</v>
      </c>
    </row>
    <row r="95" spans="1:19">
      <c r="A95" s="4" t="s">
        <v>88</v>
      </c>
      <c r="B95" s="4" t="s">
        <v>16</v>
      </c>
      <c r="C95" s="4">
        <v>239</v>
      </c>
      <c r="D95" s="4">
        <v>22</v>
      </c>
      <c r="E95" s="4" t="s">
        <v>22</v>
      </c>
      <c r="F95" s="4">
        <v>-0.123</v>
      </c>
      <c r="G95" s="4">
        <v>12.288</v>
      </c>
      <c r="H95" s="4">
        <v>90.795000000000002</v>
      </c>
      <c r="I95" s="4">
        <v>0.32400000000000001</v>
      </c>
      <c r="K95" s="5" t="b">
        <f>R95&gt;(Total_pos/Total_all)</f>
        <v>0</v>
      </c>
      <c r="L95" s="5"/>
      <c r="M95" s="11">
        <f>(D95/Total_pos)*100</f>
        <v>4.6025104602510458</v>
      </c>
      <c r="N95" s="11">
        <f t="shared" si="4"/>
        <v>9.2050209205020916</v>
      </c>
      <c r="O95" s="11">
        <f t="shared" si="1"/>
        <v>0.3242961697221981</v>
      </c>
      <c r="P95" s="5">
        <f>Total_all</f>
        <v>2244</v>
      </c>
      <c r="Q95" s="11">
        <f>Total_pos/Total_all</f>
        <v>0.21301247771836007</v>
      </c>
      <c r="R95" s="11">
        <f t="shared" si="5"/>
        <v>9.2050209205020925E-2</v>
      </c>
      <c r="S95" s="11">
        <f t="shared" si="6"/>
        <v>235.99700478292067</v>
      </c>
    </row>
    <row r="96" spans="1:19">
      <c r="A96" s="1" t="s">
        <v>162</v>
      </c>
      <c r="B96" s="1" t="s">
        <v>14</v>
      </c>
      <c r="C96" s="1">
        <v>158</v>
      </c>
      <c r="D96" s="1">
        <v>56</v>
      </c>
      <c r="E96" s="1" t="s">
        <v>15</v>
      </c>
      <c r="F96" s="3">
        <v>-0.29299999999999998</v>
      </c>
      <c r="G96" s="1">
        <v>11.715</v>
      </c>
      <c r="H96" s="1">
        <v>35.442999999999998</v>
      </c>
      <c r="I96" s="1">
        <v>0.32400000000000001</v>
      </c>
      <c r="K96" s="5" t="b">
        <f>R96&gt;(Total_pos/Total_all)</f>
        <v>1</v>
      </c>
      <c r="L96" s="5"/>
      <c r="M96" s="11">
        <f>(D96/Total_pos)*100</f>
        <v>11.715481171548117</v>
      </c>
      <c r="N96" s="11">
        <f t="shared" si="4"/>
        <v>35.443037974683541</v>
      </c>
      <c r="O96" s="11">
        <f t="shared" si="1"/>
        <v>0.32430909324972235</v>
      </c>
      <c r="P96" s="5">
        <f>Total_all</f>
        <v>2244</v>
      </c>
      <c r="Q96" s="11">
        <f>Total_pos/Total_all</f>
        <v>0.21301247771836007</v>
      </c>
      <c r="R96" s="11">
        <f t="shared" si="5"/>
        <v>0.35443037974683544</v>
      </c>
      <c r="S96" s="11">
        <f t="shared" si="6"/>
        <v>236.01581459224175</v>
      </c>
    </row>
    <row r="97" spans="1:19">
      <c r="A97" s="4" t="s">
        <v>87</v>
      </c>
      <c r="B97" s="4" t="s">
        <v>16</v>
      </c>
      <c r="C97" s="4">
        <v>86</v>
      </c>
      <c r="D97" s="4">
        <v>8</v>
      </c>
      <c r="E97" s="4" t="s">
        <v>22</v>
      </c>
      <c r="F97" s="4">
        <v>-0.19700000000000001</v>
      </c>
      <c r="G97" s="4">
        <v>4.4169999999999998</v>
      </c>
      <c r="H97" s="4">
        <v>90.697999999999993</v>
      </c>
      <c r="I97" s="4">
        <v>0.32100000000000001</v>
      </c>
      <c r="K97" s="5" t="b">
        <f>R97&gt;(Total_pos/Total_all)</f>
        <v>0</v>
      </c>
      <c r="L97" s="5"/>
      <c r="M97" s="11">
        <f>(D97/Total_pos)*100</f>
        <v>1.6736401673640167</v>
      </c>
      <c r="N97" s="11">
        <f t="shared" si="4"/>
        <v>9.3023255813953494</v>
      </c>
      <c r="O97" s="11">
        <f t="shared" si="1"/>
        <v>0.32135377440589713</v>
      </c>
      <c r="P97" s="5">
        <f>Total_all</f>
        <v>2244</v>
      </c>
      <c r="Q97" s="11">
        <f>Total_pos/Total_all</f>
        <v>0.21301247771836007</v>
      </c>
      <c r="R97" s="11">
        <f t="shared" si="5"/>
        <v>9.3023255813953487E-2</v>
      </c>
      <c r="S97" s="11">
        <f t="shared" si="6"/>
        <v>231.73394924111199</v>
      </c>
    </row>
    <row r="98" spans="1:19">
      <c r="A98" s="1" t="s">
        <v>161</v>
      </c>
      <c r="B98" s="1" t="s">
        <v>14</v>
      </c>
      <c r="C98" s="1">
        <v>478</v>
      </c>
      <c r="D98" s="1">
        <v>168</v>
      </c>
      <c r="E98" s="1" t="s">
        <v>15</v>
      </c>
      <c r="F98" s="1">
        <v>4.7E-2</v>
      </c>
      <c r="G98" s="1">
        <v>35.146000000000001</v>
      </c>
      <c r="H98" s="1">
        <v>35.146000000000001</v>
      </c>
      <c r="I98" s="1">
        <v>0.318</v>
      </c>
      <c r="K98" s="5" t="b">
        <f>R98&gt;(Total_pos/Total_all)</f>
        <v>1</v>
      </c>
      <c r="L98" s="5"/>
      <c r="M98" s="11">
        <f>(D98/Total_pos)*100</f>
        <v>35.146443514644346</v>
      </c>
      <c r="N98" s="11">
        <f t="shared" si="4"/>
        <v>35.146443514644346</v>
      </c>
      <c r="O98" s="11">
        <f t="shared" si="1"/>
        <v>0.31783582288049045</v>
      </c>
      <c r="P98" s="5">
        <f>Total_all</f>
        <v>2244</v>
      </c>
      <c r="Q98" s="11">
        <f>Total_pos/Total_all</f>
        <v>0.21301247771836007</v>
      </c>
      <c r="R98" s="11">
        <f t="shared" si="5"/>
        <v>0.35146443514644349</v>
      </c>
      <c r="S98" s="11">
        <f t="shared" si="6"/>
        <v>226.68800552692991</v>
      </c>
    </row>
    <row r="99" spans="1:19">
      <c r="A99" s="4" t="s">
        <v>86</v>
      </c>
      <c r="B99" s="4" t="s">
        <v>16</v>
      </c>
      <c r="C99" s="4">
        <v>243</v>
      </c>
      <c r="D99" s="4">
        <v>23</v>
      </c>
      <c r="E99" s="4" t="s">
        <v>22</v>
      </c>
      <c r="F99" s="4">
        <v>-2.9000000000000001E-2</v>
      </c>
      <c r="G99" s="4">
        <v>12.458</v>
      </c>
      <c r="H99" s="4">
        <v>90.534999999999997</v>
      </c>
      <c r="I99" s="4">
        <v>0.316</v>
      </c>
      <c r="K99" s="5" t="b">
        <f>R99&gt;(Total_pos/Total_all)</f>
        <v>0</v>
      </c>
      <c r="L99" s="5"/>
      <c r="M99" s="11">
        <f>(D99/Total_pos)*100</f>
        <v>4.8117154811715483</v>
      </c>
      <c r="N99" s="11">
        <f t="shared" si="4"/>
        <v>9.4650205761316872</v>
      </c>
      <c r="O99" s="11">
        <f t="shared" si="1"/>
        <v>0.31645198080552794</v>
      </c>
      <c r="P99" s="5">
        <f>Total_all</f>
        <v>2244</v>
      </c>
      <c r="Q99" s="11">
        <f>Total_pos/Total_all</f>
        <v>0.21301247771836007</v>
      </c>
      <c r="R99" s="11">
        <f t="shared" si="5"/>
        <v>9.4650205761316872E-2</v>
      </c>
      <c r="S99" s="11">
        <f t="shared" si="6"/>
        <v>224.71832521348554</v>
      </c>
    </row>
    <row r="100" spans="1:19">
      <c r="A100" s="4" t="s">
        <v>85</v>
      </c>
      <c r="B100" s="4" t="s">
        <v>16</v>
      </c>
      <c r="C100" s="4">
        <v>177</v>
      </c>
      <c r="D100" s="4">
        <v>17</v>
      </c>
      <c r="E100" s="4" t="s">
        <v>22</v>
      </c>
      <c r="F100" s="4">
        <v>-4.5999999999999999E-2</v>
      </c>
      <c r="G100" s="4">
        <v>9.06</v>
      </c>
      <c r="H100" s="4">
        <v>90.394999999999996</v>
      </c>
      <c r="I100" s="4">
        <v>0.312</v>
      </c>
      <c r="K100" s="5" t="b">
        <f>R100&gt;(Total_pos/Total_all)</f>
        <v>0</v>
      </c>
      <c r="L100" s="5"/>
      <c r="M100" s="11">
        <f>(D100/Total_pos)*100</f>
        <v>3.5564853556485359</v>
      </c>
      <c r="N100" s="11">
        <f t="shared" si="4"/>
        <v>9.6045197740112993</v>
      </c>
      <c r="O100" s="11">
        <f t="shared" si="1"/>
        <v>0.31226660668289313</v>
      </c>
      <c r="P100" s="5">
        <f>Total_all</f>
        <v>2244</v>
      </c>
      <c r="Q100" s="11">
        <f>Total_pos/Total_all</f>
        <v>0.21301247771836007</v>
      </c>
      <c r="R100" s="11">
        <f t="shared" si="5"/>
        <v>9.6045197740112997E-2</v>
      </c>
      <c r="S100" s="11">
        <f t="shared" si="6"/>
        <v>218.81341310891401</v>
      </c>
    </row>
    <row r="101" spans="1:19">
      <c r="A101" s="4" t="s">
        <v>84</v>
      </c>
      <c r="B101" s="4" t="s">
        <v>16</v>
      </c>
      <c r="C101" s="4">
        <v>245</v>
      </c>
      <c r="D101" s="4">
        <v>24</v>
      </c>
      <c r="E101" s="4" t="s">
        <v>22</v>
      </c>
      <c r="F101" s="4">
        <v>-8.7999999999999995E-2</v>
      </c>
      <c r="G101" s="4">
        <v>12.513999999999999</v>
      </c>
      <c r="H101" s="4">
        <v>90.203999999999994</v>
      </c>
      <c r="I101" s="4">
        <v>0.307</v>
      </c>
      <c r="K101" s="5" t="b">
        <f>R101&gt;(Total_pos/Total_all)</f>
        <v>0</v>
      </c>
      <c r="L101" s="5"/>
      <c r="M101" s="11">
        <f>(D101/Total_pos)*100</f>
        <v>5.02092050209205</v>
      </c>
      <c r="N101" s="11">
        <f t="shared" si="4"/>
        <v>9.795918367346939</v>
      </c>
      <c r="O101" s="11">
        <f t="shared" si="1"/>
        <v>0.30654991125036418</v>
      </c>
      <c r="P101" s="5">
        <f>Total_all</f>
        <v>2244</v>
      </c>
      <c r="Q101" s="11">
        <f>Total_pos/Total_all</f>
        <v>0.21301247771836007</v>
      </c>
      <c r="R101" s="11">
        <f t="shared" si="5"/>
        <v>9.7959183673469383E-2</v>
      </c>
      <c r="S101" s="11">
        <f t="shared" si="6"/>
        <v>210.87507110858826</v>
      </c>
    </row>
    <row r="102" spans="1:19">
      <c r="A102" s="4" t="s">
        <v>83</v>
      </c>
      <c r="B102" s="4" t="s">
        <v>16</v>
      </c>
      <c r="C102" s="4">
        <v>350</v>
      </c>
      <c r="D102" s="4">
        <v>35</v>
      </c>
      <c r="E102" s="4" t="s">
        <v>22</v>
      </c>
      <c r="F102" s="4">
        <v>-5.8999999999999997E-2</v>
      </c>
      <c r="G102" s="4">
        <v>17.837</v>
      </c>
      <c r="H102" s="4">
        <v>90</v>
      </c>
      <c r="I102" s="4">
        <v>0.3</v>
      </c>
      <c r="K102" s="5" t="b">
        <f>R102&gt;(Total_pos/Total_all)</f>
        <v>0</v>
      </c>
      <c r="L102" s="5"/>
      <c r="M102" s="11">
        <f>(D102/Total_pos)*100</f>
        <v>7.3221757322175733</v>
      </c>
      <c r="N102" s="11">
        <f t="shared" si="4"/>
        <v>10</v>
      </c>
      <c r="O102" s="11">
        <f t="shared" si="1"/>
        <v>0.30048652866469183</v>
      </c>
      <c r="P102" s="5">
        <f>Total_all</f>
        <v>2244</v>
      </c>
      <c r="Q102" s="11">
        <f>Total_pos/Total_all</f>
        <v>0.21301247771836007</v>
      </c>
      <c r="R102" s="11">
        <f t="shared" si="5"/>
        <v>0.1</v>
      </c>
      <c r="S102" s="11">
        <f t="shared" si="6"/>
        <v>202.61559337169876</v>
      </c>
    </row>
    <row r="103" spans="1:19">
      <c r="A103" s="4" t="s">
        <v>82</v>
      </c>
      <c r="B103" s="4" t="s">
        <v>16</v>
      </c>
      <c r="C103" s="4">
        <v>168</v>
      </c>
      <c r="D103" s="4">
        <v>17</v>
      </c>
      <c r="E103" s="4" t="s">
        <v>22</v>
      </c>
      <c r="F103" s="4">
        <v>-0.123</v>
      </c>
      <c r="G103" s="4">
        <v>8.5500000000000007</v>
      </c>
      <c r="H103" s="4">
        <v>89.881</v>
      </c>
      <c r="I103" s="4">
        <v>0.29699999999999999</v>
      </c>
      <c r="K103" s="5" t="b">
        <f>R103&gt;(Total_pos/Total_all)</f>
        <v>0</v>
      </c>
      <c r="L103" s="5"/>
      <c r="M103" s="11">
        <f>(D103/Total_pos)*100</f>
        <v>3.5564853556485359</v>
      </c>
      <c r="N103" s="11">
        <f t="shared" ref="N103:N166" si="7">(D103/C103)*100</f>
        <v>10.119047619047619</v>
      </c>
      <c r="O103" s="11">
        <f t="shared" ref="O103:O166" si="8">SQRT(S103/P103)</f>
        <v>0.29696453323811633</v>
      </c>
      <c r="P103" s="5">
        <f>Total_all</f>
        <v>2244</v>
      </c>
      <c r="Q103" s="11">
        <f>Total_pos/Total_all</f>
        <v>0.21301247771836007</v>
      </c>
      <c r="R103" s="11">
        <f t="shared" ref="R103:R166" si="9">D103/C103</f>
        <v>0.10119047619047619</v>
      </c>
      <c r="S103" s="11">
        <f t="shared" ref="S103:S166" si="10">2*P103*(R103*LN(R103/Q103)+(1-R103)*LN((1-R103)/(1-Q103)))</f>
        <v>197.89372389898966</v>
      </c>
    </row>
    <row r="104" spans="1:19">
      <c r="A104" s="1" t="s">
        <v>160</v>
      </c>
      <c r="B104" s="1" t="s">
        <v>14</v>
      </c>
      <c r="C104" s="1">
        <v>38</v>
      </c>
      <c r="D104" s="1">
        <v>13</v>
      </c>
      <c r="E104" s="1" t="s">
        <v>15</v>
      </c>
      <c r="F104" s="1">
        <v>6.0000000000000001E-3</v>
      </c>
      <c r="G104" s="1">
        <v>2.72</v>
      </c>
      <c r="H104" s="1">
        <v>34.210999999999999</v>
      </c>
      <c r="I104" s="1">
        <v>0.29699999999999999</v>
      </c>
      <c r="K104" s="5" t="b">
        <f>R104&gt;(Total_pos/Total_all)</f>
        <v>1</v>
      </c>
      <c r="L104" s="5"/>
      <c r="M104" s="11">
        <f>(D104/Total_pos)*100</f>
        <v>2.7196652719665275</v>
      </c>
      <c r="N104" s="11">
        <f t="shared" si="7"/>
        <v>34.210526315789473</v>
      </c>
      <c r="O104" s="11">
        <f t="shared" si="8"/>
        <v>0.29733857009300302</v>
      </c>
      <c r="P104" s="5">
        <f>Total_all</f>
        <v>2244</v>
      </c>
      <c r="Q104" s="11">
        <f>Total_pos/Total_all</f>
        <v>0.21301247771836007</v>
      </c>
      <c r="R104" s="11">
        <f t="shared" si="9"/>
        <v>0.34210526315789475</v>
      </c>
      <c r="S104" s="11">
        <f t="shared" si="10"/>
        <v>198.39254549455157</v>
      </c>
    </row>
    <row r="105" spans="1:19">
      <c r="A105" s="1" t="s">
        <v>159</v>
      </c>
      <c r="B105" s="1" t="s">
        <v>14</v>
      </c>
      <c r="C105" s="1">
        <v>41</v>
      </c>
      <c r="D105" s="1">
        <v>14</v>
      </c>
      <c r="E105" s="1" t="s">
        <v>15</v>
      </c>
      <c r="F105" s="1">
        <v>0.61399999999999999</v>
      </c>
      <c r="G105" s="1">
        <v>2.9289999999999998</v>
      </c>
      <c r="H105" s="1">
        <v>34.146000000000001</v>
      </c>
      <c r="I105" s="1">
        <v>0.29599999999999999</v>
      </c>
      <c r="K105" s="5" t="b">
        <f>R105&gt;(Total_pos/Total_all)</f>
        <v>1</v>
      </c>
      <c r="L105" s="5"/>
      <c r="M105" s="11">
        <f>(D105/Total_pos)*100</f>
        <v>2.9288702928870292</v>
      </c>
      <c r="N105" s="11">
        <f t="shared" si="7"/>
        <v>34.146341463414636</v>
      </c>
      <c r="O105" s="11">
        <f t="shared" si="8"/>
        <v>0.29592885169095612</v>
      </c>
      <c r="P105" s="5">
        <f>Total_all</f>
        <v>2244</v>
      </c>
      <c r="Q105" s="11">
        <f>Total_pos/Total_all</f>
        <v>0.21301247771836007</v>
      </c>
      <c r="R105" s="11">
        <f t="shared" si="9"/>
        <v>0.34146341463414637</v>
      </c>
      <c r="S105" s="11">
        <f t="shared" si="10"/>
        <v>196.51579853045899</v>
      </c>
    </row>
    <row r="106" spans="1:19">
      <c r="A106" s="4" t="s">
        <v>81</v>
      </c>
      <c r="B106" s="4" t="s">
        <v>16</v>
      </c>
      <c r="C106" s="4">
        <v>183</v>
      </c>
      <c r="D106" s="4">
        <v>19</v>
      </c>
      <c r="E106" s="4" t="s">
        <v>22</v>
      </c>
      <c r="F106" s="4">
        <v>-4.2000000000000003E-2</v>
      </c>
      <c r="G106" s="4">
        <v>9.2870000000000008</v>
      </c>
      <c r="H106" s="4">
        <v>89.617000000000004</v>
      </c>
      <c r="I106" s="4">
        <v>0.28899999999999998</v>
      </c>
      <c r="K106" s="5" t="b">
        <f>R106&gt;(Total_pos/Total_all)</f>
        <v>0</v>
      </c>
      <c r="L106" s="5"/>
      <c r="M106" s="11">
        <f>(D106/Total_pos)*100</f>
        <v>3.9748953974895396</v>
      </c>
      <c r="N106" s="11">
        <f t="shared" si="7"/>
        <v>10.382513661202186</v>
      </c>
      <c r="O106" s="11">
        <f t="shared" si="8"/>
        <v>0.28920823070478058</v>
      </c>
      <c r="P106" s="5">
        <f>Total_all</f>
        <v>2244</v>
      </c>
      <c r="Q106" s="11">
        <f>Total_pos/Total_all</f>
        <v>0.21301247771836007</v>
      </c>
      <c r="R106" s="11">
        <f t="shared" si="9"/>
        <v>0.10382513661202186</v>
      </c>
      <c r="S106" s="11">
        <f t="shared" si="10"/>
        <v>187.69130318738226</v>
      </c>
    </row>
    <row r="107" spans="1:19">
      <c r="A107" s="4" t="s">
        <v>80</v>
      </c>
      <c r="B107" s="4" t="s">
        <v>16</v>
      </c>
      <c r="C107" s="4">
        <v>490</v>
      </c>
      <c r="D107" s="4">
        <v>53</v>
      </c>
      <c r="E107" s="4" t="s">
        <v>22</v>
      </c>
      <c r="F107" s="4">
        <v>-5.0000000000000001E-3</v>
      </c>
      <c r="G107" s="4">
        <v>24.745000000000001</v>
      </c>
      <c r="H107" s="4">
        <v>89.183999999999997</v>
      </c>
      <c r="I107" s="4">
        <v>0.27700000000000002</v>
      </c>
      <c r="K107" s="5" t="b">
        <f>R107&gt;(Total_pos/Total_all)</f>
        <v>0</v>
      </c>
      <c r="L107" s="5"/>
      <c r="M107" s="11">
        <f>(D107/Total_pos)*100</f>
        <v>11.08786610878661</v>
      </c>
      <c r="N107" s="11">
        <f t="shared" si="7"/>
        <v>10.816326530612246</v>
      </c>
      <c r="O107" s="11">
        <f t="shared" si="8"/>
        <v>0.27654809005675601</v>
      </c>
      <c r="P107" s="5">
        <f>Total_all</f>
        <v>2244</v>
      </c>
      <c r="Q107" s="11">
        <f>Total_pos/Total_all</f>
        <v>0.21301247771836007</v>
      </c>
      <c r="R107" s="11">
        <f t="shared" si="9"/>
        <v>0.10816326530612246</v>
      </c>
      <c r="S107" s="11">
        <f t="shared" si="10"/>
        <v>171.61853067990492</v>
      </c>
    </row>
    <row r="108" spans="1:19">
      <c r="A108" s="4" t="s">
        <v>79</v>
      </c>
      <c r="B108" s="4" t="s">
        <v>16</v>
      </c>
      <c r="C108" s="4">
        <v>91</v>
      </c>
      <c r="D108" s="4">
        <v>10</v>
      </c>
      <c r="E108" s="4" t="s">
        <v>22</v>
      </c>
      <c r="F108" s="4">
        <v>-0.38800000000000001</v>
      </c>
      <c r="G108" s="4">
        <v>4.5869999999999997</v>
      </c>
      <c r="H108" s="4">
        <v>89.010999999999996</v>
      </c>
      <c r="I108" s="4">
        <v>0.27200000000000002</v>
      </c>
      <c r="K108" s="5" t="b">
        <f>R108&gt;(Total_pos/Total_all)</f>
        <v>0</v>
      </c>
      <c r="L108" s="5"/>
      <c r="M108" s="11">
        <f>(D108/Total_pos)*100</f>
        <v>2.0920502092050208</v>
      </c>
      <c r="N108" s="11">
        <f t="shared" si="7"/>
        <v>10.989010989010989</v>
      </c>
      <c r="O108" s="11">
        <f t="shared" si="8"/>
        <v>0.27154569488410479</v>
      </c>
      <c r="P108" s="5">
        <f>Total_all</f>
        <v>2244</v>
      </c>
      <c r="Q108" s="11">
        <f>Total_pos/Total_all</f>
        <v>0.21301247771836007</v>
      </c>
      <c r="R108" s="11">
        <f t="shared" si="9"/>
        <v>0.10989010989010989</v>
      </c>
      <c r="S108" s="11">
        <f t="shared" si="10"/>
        <v>165.46597253624498</v>
      </c>
    </row>
    <row r="109" spans="1:19">
      <c r="A109" s="3" t="s">
        <v>78</v>
      </c>
      <c r="B109" s="3" t="s">
        <v>14</v>
      </c>
      <c r="C109" s="3">
        <v>100</v>
      </c>
      <c r="D109" s="3">
        <v>11</v>
      </c>
      <c r="E109" s="3" t="s">
        <v>22</v>
      </c>
      <c r="F109" s="3">
        <v>-0.126</v>
      </c>
      <c r="G109" s="3">
        <v>5.04</v>
      </c>
      <c r="H109" s="3">
        <v>89</v>
      </c>
      <c r="I109" s="3">
        <v>0.27100000000000002</v>
      </c>
      <c r="K109" s="5" t="b">
        <f>R109&gt;(Total_pos/Total_all)</f>
        <v>0</v>
      </c>
      <c r="L109" s="5"/>
      <c r="M109" s="11">
        <f>(D109/Total_pos)*100</f>
        <v>2.3012552301255229</v>
      </c>
      <c r="N109" s="11">
        <f t="shared" si="7"/>
        <v>11</v>
      </c>
      <c r="O109" s="11">
        <f t="shared" si="8"/>
        <v>0.2712280587033164</v>
      </c>
      <c r="P109" s="5">
        <f>Total_all</f>
        <v>2244</v>
      </c>
      <c r="Q109" s="11">
        <f>Total_pos/Total_all</f>
        <v>0.21301247771836007</v>
      </c>
      <c r="R109" s="11">
        <f t="shared" si="9"/>
        <v>0.11</v>
      </c>
      <c r="S109" s="11">
        <f t="shared" si="10"/>
        <v>165.07909665396389</v>
      </c>
    </row>
    <row r="110" spans="1:19">
      <c r="A110" s="1" t="s">
        <v>158</v>
      </c>
      <c r="B110" s="1" t="s">
        <v>14</v>
      </c>
      <c r="C110" s="1">
        <v>332</v>
      </c>
      <c r="D110" s="1">
        <v>108</v>
      </c>
      <c r="E110" s="1" t="s">
        <v>15</v>
      </c>
      <c r="F110" s="4">
        <v>-0.17499999999999999</v>
      </c>
      <c r="G110" s="1">
        <v>22.594000000000001</v>
      </c>
      <c r="H110" s="1">
        <v>32.53</v>
      </c>
      <c r="I110" s="1">
        <v>0.26</v>
      </c>
      <c r="K110" s="5" t="b">
        <f>R110&gt;(Total_pos/Total_all)</f>
        <v>1</v>
      </c>
      <c r="L110" s="5"/>
      <c r="M110" s="11">
        <f>(D110/Total_pos)*100</f>
        <v>22.594142259414227</v>
      </c>
      <c r="N110" s="11">
        <f t="shared" si="7"/>
        <v>32.53012048192771</v>
      </c>
      <c r="O110" s="11">
        <f t="shared" si="8"/>
        <v>0.26025213099618566</v>
      </c>
      <c r="P110" s="5">
        <f>Total_all</f>
        <v>2244</v>
      </c>
      <c r="Q110" s="11">
        <f>Total_pos/Total_all</f>
        <v>0.21301247771836007</v>
      </c>
      <c r="R110" s="11">
        <f t="shared" si="9"/>
        <v>0.3253012048192771</v>
      </c>
      <c r="S110" s="11">
        <f t="shared" si="10"/>
        <v>151.98874926799718</v>
      </c>
    </row>
    <row r="111" spans="1:19">
      <c r="A111" s="3" t="s">
        <v>77</v>
      </c>
      <c r="B111" s="3" t="s">
        <v>14</v>
      </c>
      <c r="C111" s="3">
        <v>147</v>
      </c>
      <c r="D111" s="3">
        <v>17</v>
      </c>
      <c r="E111" s="3" t="s">
        <v>22</v>
      </c>
      <c r="F111" s="3">
        <v>-5.0000000000000001E-3</v>
      </c>
      <c r="G111" s="3">
        <v>7.3609999999999998</v>
      </c>
      <c r="H111" s="3">
        <v>88.435000000000002</v>
      </c>
      <c r="I111" s="3">
        <v>0.255</v>
      </c>
      <c r="K111" s="5" t="b">
        <f>R111&gt;(Total_pos/Total_all)</f>
        <v>0</v>
      </c>
      <c r="L111" s="5"/>
      <c r="M111" s="11">
        <f>(D111/Total_pos)*100</f>
        <v>3.5564853556485359</v>
      </c>
      <c r="N111" s="11">
        <f t="shared" si="7"/>
        <v>11.564625850340136</v>
      </c>
      <c r="O111" s="11">
        <f t="shared" si="8"/>
        <v>0.25501680202095117</v>
      </c>
      <c r="P111" s="5">
        <f>Total_all</f>
        <v>2244</v>
      </c>
      <c r="Q111" s="11">
        <f>Total_pos/Total_all</f>
        <v>0.21301247771836007</v>
      </c>
      <c r="R111" s="11">
        <f t="shared" si="9"/>
        <v>0.11564625850340136</v>
      </c>
      <c r="S111" s="11">
        <f t="shared" si="10"/>
        <v>145.93532953835631</v>
      </c>
    </row>
    <row r="112" spans="1:19">
      <c r="A112" s="1" t="s">
        <v>157</v>
      </c>
      <c r="B112" s="1" t="s">
        <v>14</v>
      </c>
      <c r="C112" s="1">
        <v>63</v>
      </c>
      <c r="D112" s="1">
        <v>20</v>
      </c>
      <c r="E112" s="1" t="s">
        <v>15</v>
      </c>
      <c r="F112" s="1">
        <v>0.25900000000000001</v>
      </c>
      <c r="G112" s="1">
        <v>4.1840000000000002</v>
      </c>
      <c r="H112" s="1">
        <v>31.745999999999999</v>
      </c>
      <c r="I112" s="1">
        <v>0.24299999999999999</v>
      </c>
      <c r="K112" s="5" t="b">
        <f>R112&gt;(Total_pos/Total_all)</f>
        <v>1</v>
      </c>
      <c r="L112" s="5"/>
      <c r="M112" s="11">
        <f>(D112/Total_pos)*100</f>
        <v>4.1841004184100417</v>
      </c>
      <c r="N112" s="11">
        <f t="shared" si="7"/>
        <v>31.746031746031743</v>
      </c>
      <c r="O112" s="11">
        <f t="shared" si="8"/>
        <v>0.24281402131544408</v>
      </c>
      <c r="P112" s="5">
        <f>Total_all</f>
        <v>2244</v>
      </c>
      <c r="Q112" s="11">
        <f>Total_pos/Total_all</f>
        <v>0.21301247771836007</v>
      </c>
      <c r="R112" s="11">
        <f t="shared" si="9"/>
        <v>0.31746031746031744</v>
      </c>
      <c r="S112" s="11">
        <f t="shared" si="10"/>
        <v>132.30320823791382</v>
      </c>
    </row>
    <row r="113" spans="1:19">
      <c r="A113" s="2" t="s">
        <v>20</v>
      </c>
      <c r="B113" s="2" t="s">
        <v>16</v>
      </c>
      <c r="C113" s="2">
        <v>68</v>
      </c>
      <c r="D113" s="2">
        <v>21</v>
      </c>
      <c r="E113" s="2" t="s">
        <v>15</v>
      </c>
      <c r="F113" s="2">
        <v>9.6000000000000002E-2</v>
      </c>
      <c r="G113" s="2">
        <v>4.3929999999999998</v>
      </c>
      <c r="H113" s="2">
        <v>30.882000000000001</v>
      </c>
      <c r="I113" s="2">
        <v>0.224</v>
      </c>
      <c r="K113" s="5" t="b">
        <f>R113&gt;(Total_pos/Total_all)</f>
        <v>1</v>
      </c>
      <c r="L113" s="5"/>
      <c r="M113" s="11">
        <f>(D113/Total_pos)*100</f>
        <v>4.3933054393305433</v>
      </c>
      <c r="N113" s="11">
        <f t="shared" si="7"/>
        <v>30.882352941176471</v>
      </c>
      <c r="O113" s="11">
        <f t="shared" si="8"/>
        <v>0.22350124063750729</v>
      </c>
      <c r="P113" s="5">
        <f>Total_all</f>
        <v>2244</v>
      </c>
      <c r="Q113" s="11">
        <f>Total_pos/Total_all</f>
        <v>0.21301247771836007</v>
      </c>
      <c r="R113" s="11">
        <f t="shared" si="9"/>
        <v>0.30882352941176472</v>
      </c>
      <c r="S113" s="11">
        <f t="shared" si="10"/>
        <v>112.0940934472371</v>
      </c>
    </row>
    <row r="114" spans="1:19">
      <c r="A114" s="4" t="s">
        <v>76</v>
      </c>
      <c r="B114" s="4" t="s">
        <v>16</v>
      </c>
      <c r="C114" s="4">
        <v>141</v>
      </c>
      <c r="D114" s="4">
        <v>18</v>
      </c>
      <c r="E114" s="4" t="s">
        <v>22</v>
      </c>
      <c r="F114" s="4">
        <v>-0.114</v>
      </c>
      <c r="G114" s="4">
        <v>6.9649999999999999</v>
      </c>
      <c r="H114" s="4">
        <v>87.233999999999995</v>
      </c>
      <c r="I114" s="4">
        <v>0.221</v>
      </c>
      <c r="K114" s="5" t="b">
        <f>R114&gt;(Total_pos/Total_all)</f>
        <v>0</v>
      </c>
      <c r="L114" s="5"/>
      <c r="M114" s="11">
        <f>(D114/Total_pos)*100</f>
        <v>3.7656903765690379</v>
      </c>
      <c r="N114" s="11">
        <f t="shared" si="7"/>
        <v>12.76595744680851</v>
      </c>
      <c r="O114" s="11">
        <f t="shared" si="8"/>
        <v>0.22119210668508138</v>
      </c>
      <c r="P114" s="5">
        <f>Total_all</f>
        <v>2244</v>
      </c>
      <c r="Q114" s="11">
        <f>Total_pos/Total_all</f>
        <v>0.21301247771836007</v>
      </c>
      <c r="R114" s="11">
        <f t="shared" si="9"/>
        <v>0.1276595744680851</v>
      </c>
      <c r="S114" s="11">
        <f t="shared" si="10"/>
        <v>109.78982744615625</v>
      </c>
    </row>
    <row r="115" spans="1:19">
      <c r="A115" s="1" t="s">
        <v>156</v>
      </c>
      <c r="B115" s="1" t="s">
        <v>14</v>
      </c>
      <c r="C115" s="1">
        <v>78</v>
      </c>
      <c r="D115" s="1">
        <v>24</v>
      </c>
      <c r="E115" s="1" t="s">
        <v>15</v>
      </c>
      <c r="F115" s="1">
        <v>0.11</v>
      </c>
      <c r="G115" s="1">
        <v>5.0209999999999999</v>
      </c>
      <c r="H115" s="1">
        <v>30.768999999999998</v>
      </c>
      <c r="I115" s="1">
        <v>0.221</v>
      </c>
      <c r="K115" s="5" t="b">
        <f>R115&gt;(Total_pos/Total_all)</f>
        <v>1</v>
      </c>
      <c r="L115" s="5"/>
      <c r="M115" s="11">
        <f>(D115/Total_pos)*100</f>
        <v>5.02092050209205</v>
      </c>
      <c r="N115" s="11">
        <f t="shared" si="7"/>
        <v>30.76923076923077</v>
      </c>
      <c r="O115" s="11">
        <f t="shared" si="8"/>
        <v>0.22096331036142564</v>
      </c>
      <c r="P115" s="5">
        <f>Total_all</f>
        <v>2244</v>
      </c>
      <c r="Q115" s="11">
        <f>Total_pos/Total_all</f>
        <v>0.21301247771836007</v>
      </c>
      <c r="R115" s="11">
        <f t="shared" si="9"/>
        <v>0.30769230769230771</v>
      </c>
      <c r="S115" s="11">
        <f t="shared" si="10"/>
        <v>109.56281647607408</v>
      </c>
    </row>
    <row r="116" spans="1:19">
      <c r="A116" s="4" t="s">
        <v>75</v>
      </c>
      <c r="B116" s="4" t="s">
        <v>16</v>
      </c>
      <c r="C116" s="4">
        <v>117</v>
      </c>
      <c r="D116" s="4">
        <v>15</v>
      </c>
      <c r="E116" s="4" t="s">
        <v>22</v>
      </c>
      <c r="F116" s="4">
        <v>-0.73599999999999999</v>
      </c>
      <c r="G116" s="4">
        <v>5.7759999999999998</v>
      </c>
      <c r="H116" s="4">
        <v>87.179000000000002</v>
      </c>
      <c r="I116" s="4">
        <v>0.22</v>
      </c>
      <c r="K116" s="5" t="b">
        <f>R116&gt;(Total_pos/Total_all)</f>
        <v>0</v>
      </c>
      <c r="L116" s="5"/>
      <c r="M116" s="11">
        <f>(D116/Total_pos)*100</f>
        <v>3.1380753138075312</v>
      </c>
      <c r="N116" s="11">
        <f t="shared" si="7"/>
        <v>12.820512820512819</v>
      </c>
      <c r="O116" s="11">
        <f t="shared" si="8"/>
        <v>0.21967621594293157</v>
      </c>
      <c r="P116" s="5">
        <f>Total_all</f>
        <v>2244</v>
      </c>
      <c r="Q116" s="11">
        <f>Total_pos/Total_all</f>
        <v>0.21301247771836007</v>
      </c>
      <c r="R116" s="11">
        <f t="shared" si="9"/>
        <v>0.12820512820512819</v>
      </c>
      <c r="S116" s="11">
        <f t="shared" si="10"/>
        <v>108.29014382565636</v>
      </c>
    </row>
    <row r="117" spans="1:19">
      <c r="A117" s="3" t="s">
        <v>74</v>
      </c>
      <c r="B117" s="3" t="s">
        <v>14</v>
      </c>
      <c r="C117" s="3">
        <v>54</v>
      </c>
      <c r="D117" s="3">
        <v>7</v>
      </c>
      <c r="E117" s="3" t="s">
        <v>22</v>
      </c>
      <c r="F117" s="3">
        <v>-0.16500000000000001</v>
      </c>
      <c r="G117" s="3">
        <v>2.661</v>
      </c>
      <c r="H117" s="3">
        <v>87.037000000000006</v>
      </c>
      <c r="I117" s="3">
        <v>0.216</v>
      </c>
      <c r="K117" s="5" t="b">
        <f>R117&gt;(Total_pos/Total_all)</f>
        <v>0</v>
      </c>
      <c r="L117" s="5"/>
      <c r="M117" s="11">
        <f>(D117/Total_pos)*100</f>
        <v>1.4644351464435146</v>
      </c>
      <c r="N117" s="11">
        <f t="shared" si="7"/>
        <v>12.962962962962962</v>
      </c>
      <c r="O117" s="11">
        <f t="shared" si="8"/>
        <v>0.21572592057765541</v>
      </c>
      <c r="P117" s="5">
        <f>Total_all</f>
        <v>2244</v>
      </c>
      <c r="Q117" s="11">
        <f>Total_pos/Total_all</f>
        <v>0.21301247771836007</v>
      </c>
      <c r="R117" s="11">
        <f t="shared" si="9"/>
        <v>0.12962962962962962</v>
      </c>
      <c r="S117" s="11">
        <f t="shared" si="10"/>
        <v>104.43053778356854</v>
      </c>
    </row>
    <row r="118" spans="1:19">
      <c r="A118" s="3" t="s">
        <v>73</v>
      </c>
      <c r="B118" s="3" t="s">
        <v>14</v>
      </c>
      <c r="C118" s="3">
        <v>46</v>
      </c>
      <c r="D118" s="3">
        <v>6</v>
      </c>
      <c r="E118" s="3" t="s">
        <v>22</v>
      </c>
      <c r="F118" s="3">
        <v>-4.8000000000000001E-2</v>
      </c>
      <c r="G118" s="3">
        <v>2.2650000000000001</v>
      </c>
      <c r="H118" s="3">
        <v>86.956999999999994</v>
      </c>
      <c r="I118" s="3">
        <v>0.21299999999999999</v>
      </c>
      <c r="K118" s="5" t="b">
        <f>R118&gt;(Total_pos/Total_all)</f>
        <v>0</v>
      </c>
      <c r="L118" s="5"/>
      <c r="M118" s="11">
        <f>(D118/Total_pos)*100</f>
        <v>1.2552301255230125</v>
      </c>
      <c r="N118" s="11">
        <f t="shared" si="7"/>
        <v>13.043478260869565</v>
      </c>
      <c r="O118" s="11">
        <f t="shared" si="8"/>
        <v>0.21349812803185636</v>
      </c>
      <c r="P118" s="5">
        <f>Total_all</f>
        <v>2244</v>
      </c>
      <c r="Q118" s="11">
        <f>Total_pos/Total_all</f>
        <v>0.21301247771836007</v>
      </c>
      <c r="R118" s="11">
        <f t="shared" si="9"/>
        <v>0.13043478260869565</v>
      </c>
      <c r="S118" s="11">
        <f t="shared" si="10"/>
        <v>102.28477531045195</v>
      </c>
    </row>
    <row r="119" spans="1:19">
      <c r="A119" s="4" t="s">
        <v>72</v>
      </c>
      <c r="B119" s="4" t="s">
        <v>16</v>
      </c>
      <c r="C119" s="4">
        <v>252</v>
      </c>
      <c r="D119" s="4">
        <v>33</v>
      </c>
      <c r="E119" s="4" t="s">
        <v>22</v>
      </c>
      <c r="F119" s="1">
        <v>0.14000000000000001</v>
      </c>
      <c r="G119" s="4">
        <v>12.401</v>
      </c>
      <c r="H119" s="4">
        <v>86.905000000000001</v>
      </c>
      <c r="I119" s="4">
        <v>0.21199999999999999</v>
      </c>
      <c r="K119" s="5" t="b">
        <f>R119&gt;(Total_pos/Total_all)</f>
        <v>0</v>
      </c>
      <c r="L119" s="5"/>
      <c r="M119" s="11">
        <f>(D119/Total_pos)*100</f>
        <v>6.9037656903765692</v>
      </c>
      <c r="N119" s="11">
        <f t="shared" si="7"/>
        <v>13.095238095238097</v>
      </c>
      <c r="O119" s="11">
        <f t="shared" si="8"/>
        <v>0.21206785848955245</v>
      </c>
      <c r="P119" s="5">
        <f>Total_all</f>
        <v>2244</v>
      </c>
      <c r="Q119" s="11">
        <f>Total_pos/Total_all</f>
        <v>0.21301247771836007</v>
      </c>
      <c r="R119" s="11">
        <f t="shared" si="9"/>
        <v>0.13095238095238096</v>
      </c>
      <c r="S119" s="11">
        <f t="shared" si="10"/>
        <v>100.91891070014984</v>
      </c>
    </row>
    <row r="120" spans="1:19">
      <c r="A120" s="1" t="s">
        <v>155</v>
      </c>
      <c r="B120" s="1" t="s">
        <v>14</v>
      </c>
      <c r="C120" s="1">
        <v>43</v>
      </c>
      <c r="D120" s="1">
        <v>13</v>
      </c>
      <c r="E120" s="1" t="s">
        <v>15</v>
      </c>
      <c r="F120" s="1">
        <v>0.16600000000000001</v>
      </c>
      <c r="G120" s="1">
        <v>2.72</v>
      </c>
      <c r="H120" s="1">
        <v>30.233000000000001</v>
      </c>
      <c r="I120" s="1">
        <v>0.20899999999999999</v>
      </c>
      <c r="K120" s="5" t="b">
        <f>R120&gt;(Total_pos/Total_all)</f>
        <v>1</v>
      </c>
      <c r="L120" s="5"/>
      <c r="M120" s="11">
        <f>(D120/Total_pos)*100</f>
        <v>2.7196652719665275</v>
      </c>
      <c r="N120" s="11">
        <f t="shared" si="7"/>
        <v>30.232558139534881</v>
      </c>
      <c r="O120" s="11">
        <f t="shared" si="8"/>
        <v>0.20889561545562946</v>
      </c>
      <c r="P120" s="5">
        <f>Total_all</f>
        <v>2244</v>
      </c>
      <c r="Q120" s="11">
        <f>Total_pos/Total_all</f>
        <v>0.21301247771836007</v>
      </c>
      <c r="R120" s="11">
        <f t="shared" si="9"/>
        <v>0.30232558139534882</v>
      </c>
      <c r="S120" s="11">
        <f t="shared" si="10"/>
        <v>97.922276583379485</v>
      </c>
    </row>
    <row r="121" spans="1:19">
      <c r="A121" s="3" t="s">
        <v>23</v>
      </c>
      <c r="B121" s="3" t="s">
        <v>14</v>
      </c>
      <c r="C121" s="3">
        <v>224</v>
      </c>
      <c r="D121" s="3">
        <v>30</v>
      </c>
      <c r="E121" s="3" t="s">
        <v>22</v>
      </c>
      <c r="F121" s="3">
        <v>-6.7000000000000004E-2</v>
      </c>
      <c r="G121" s="3">
        <v>10.984999999999999</v>
      </c>
      <c r="H121" s="3">
        <v>86.606999999999999</v>
      </c>
      <c r="I121" s="3">
        <v>0.20399999999999999</v>
      </c>
      <c r="K121" s="5" t="b">
        <f>R121&gt;(Total_pos/Total_all)</f>
        <v>0</v>
      </c>
      <c r="L121" s="5"/>
      <c r="M121" s="11">
        <f>(D121/Total_pos)*100</f>
        <v>6.2761506276150625</v>
      </c>
      <c r="N121" s="11">
        <f t="shared" si="7"/>
        <v>13.392857142857142</v>
      </c>
      <c r="O121" s="11">
        <f t="shared" si="8"/>
        <v>0.20387199459157218</v>
      </c>
      <c r="P121" s="5">
        <f>Total_all</f>
        <v>2244</v>
      </c>
      <c r="Q121" s="11">
        <f>Total_pos/Total_all</f>
        <v>0.21301247771836007</v>
      </c>
      <c r="R121" s="11">
        <f t="shared" si="9"/>
        <v>0.13392857142857142</v>
      </c>
      <c r="S121" s="11">
        <f t="shared" si="10"/>
        <v>93.26914516110611</v>
      </c>
    </row>
    <row r="122" spans="1:19">
      <c r="A122" s="3" t="s">
        <v>69</v>
      </c>
      <c r="B122" s="3" t="s">
        <v>14</v>
      </c>
      <c r="C122" s="3">
        <v>51</v>
      </c>
      <c r="D122" s="3">
        <v>7</v>
      </c>
      <c r="E122" s="3" t="s">
        <v>22</v>
      </c>
      <c r="F122" s="3">
        <v>-6.2E-2</v>
      </c>
      <c r="G122" s="3">
        <v>2.492</v>
      </c>
      <c r="H122" s="3">
        <v>86.275000000000006</v>
      </c>
      <c r="I122" s="3">
        <v>0.19500000000000001</v>
      </c>
      <c r="K122" s="5" t="b">
        <f>R122&gt;(Total_pos/Total_all)</f>
        <v>0</v>
      </c>
      <c r="L122" s="5"/>
      <c r="M122" s="11">
        <f>(D122/Total_pos)*100</f>
        <v>1.4644351464435146</v>
      </c>
      <c r="N122" s="11">
        <f t="shared" si="7"/>
        <v>13.725490196078432</v>
      </c>
      <c r="O122" s="11">
        <f t="shared" si="8"/>
        <v>0.19476746990233271</v>
      </c>
      <c r="P122" s="5">
        <f>Total_all</f>
        <v>2244</v>
      </c>
      <c r="Q122" s="11">
        <f>Total_pos/Total_all</f>
        <v>0.21301247771836007</v>
      </c>
      <c r="R122" s="11">
        <f t="shared" si="9"/>
        <v>0.13725490196078433</v>
      </c>
      <c r="S122" s="11">
        <f t="shared" si="10"/>
        <v>85.124720293358237</v>
      </c>
    </row>
    <row r="123" spans="1:19">
      <c r="A123" s="2" t="s">
        <v>154</v>
      </c>
      <c r="B123" s="2" t="s">
        <v>16</v>
      </c>
      <c r="C123" s="2">
        <v>54</v>
      </c>
      <c r="D123" s="2">
        <v>16</v>
      </c>
      <c r="E123" s="2" t="s">
        <v>15</v>
      </c>
      <c r="F123" s="2">
        <v>0.20499999999999999</v>
      </c>
      <c r="G123" s="2">
        <v>3.347</v>
      </c>
      <c r="H123" s="2">
        <v>29.63</v>
      </c>
      <c r="I123" s="2">
        <v>0.19500000000000001</v>
      </c>
      <c r="K123" s="5" t="b">
        <f>R123&gt;(Total_pos/Total_all)</f>
        <v>1</v>
      </c>
      <c r="L123" s="5"/>
      <c r="M123" s="11">
        <f>(D123/Total_pos)*100</f>
        <v>3.3472803347280333</v>
      </c>
      <c r="N123" s="11">
        <f t="shared" si="7"/>
        <v>29.629629629629626</v>
      </c>
      <c r="O123" s="11">
        <f t="shared" si="8"/>
        <v>0.19528301452529492</v>
      </c>
      <c r="P123" s="5">
        <f>Total_all</f>
        <v>2244</v>
      </c>
      <c r="Q123" s="11">
        <f>Total_pos/Total_all</f>
        <v>0.21301247771836007</v>
      </c>
      <c r="R123" s="11">
        <f t="shared" si="9"/>
        <v>0.29629629629629628</v>
      </c>
      <c r="S123" s="11">
        <f t="shared" si="10"/>
        <v>85.575962730122214</v>
      </c>
    </row>
    <row r="124" spans="1:19">
      <c r="A124" s="3" t="s">
        <v>71</v>
      </c>
      <c r="B124" s="3" t="s">
        <v>14</v>
      </c>
      <c r="C124" s="3">
        <v>51</v>
      </c>
      <c r="D124" s="3">
        <v>7</v>
      </c>
      <c r="E124" s="3" t="s">
        <v>22</v>
      </c>
      <c r="F124" s="3">
        <v>-0.441</v>
      </c>
      <c r="G124" s="3">
        <v>2.492</v>
      </c>
      <c r="H124" s="3">
        <v>86.275000000000006</v>
      </c>
      <c r="I124" s="3">
        <v>0.19500000000000001</v>
      </c>
      <c r="K124" s="5" t="b">
        <f>R124&gt;(Total_pos/Total_all)</f>
        <v>0</v>
      </c>
      <c r="L124" s="5"/>
      <c r="M124" s="11">
        <f>(D124/Total_pos)*100</f>
        <v>1.4644351464435146</v>
      </c>
      <c r="N124" s="11">
        <f t="shared" si="7"/>
        <v>13.725490196078432</v>
      </c>
      <c r="O124" s="11">
        <f t="shared" si="8"/>
        <v>0.19476746990233271</v>
      </c>
      <c r="P124" s="5">
        <f>Total_all</f>
        <v>2244</v>
      </c>
      <c r="Q124" s="11">
        <f>Total_pos/Total_all</f>
        <v>0.21301247771836007</v>
      </c>
      <c r="R124" s="11">
        <f t="shared" si="9"/>
        <v>0.13725490196078433</v>
      </c>
      <c r="S124" s="11">
        <f t="shared" si="10"/>
        <v>85.124720293358237</v>
      </c>
    </row>
    <row r="125" spans="1:19">
      <c r="A125" s="3" t="s">
        <v>70</v>
      </c>
      <c r="B125" s="3" t="s">
        <v>14</v>
      </c>
      <c r="C125" s="3">
        <v>51</v>
      </c>
      <c r="D125" s="3">
        <v>7</v>
      </c>
      <c r="E125" s="3" t="s">
        <v>22</v>
      </c>
      <c r="F125" s="3">
        <v>-0.26100000000000001</v>
      </c>
      <c r="G125" s="3">
        <v>2.492</v>
      </c>
      <c r="H125" s="3">
        <v>86.275000000000006</v>
      </c>
      <c r="I125" s="3">
        <v>0.19500000000000001</v>
      </c>
      <c r="K125" s="5" t="b">
        <f>R125&gt;(Total_pos/Total_all)</f>
        <v>0</v>
      </c>
      <c r="L125" s="5"/>
      <c r="M125" s="11">
        <f>(D125/Total_pos)*100</f>
        <v>1.4644351464435146</v>
      </c>
      <c r="N125" s="11">
        <f t="shared" si="7"/>
        <v>13.725490196078432</v>
      </c>
      <c r="O125" s="11">
        <f t="shared" si="8"/>
        <v>0.19476746990233271</v>
      </c>
      <c r="P125" s="5">
        <f>Total_all</f>
        <v>2244</v>
      </c>
      <c r="Q125" s="11">
        <f>Total_pos/Total_all</f>
        <v>0.21301247771836007</v>
      </c>
      <c r="R125" s="11">
        <f t="shared" si="9"/>
        <v>0.13725490196078433</v>
      </c>
      <c r="S125" s="11">
        <f t="shared" si="10"/>
        <v>85.124720293358237</v>
      </c>
    </row>
    <row r="126" spans="1:19">
      <c r="A126" s="3" t="s">
        <v>68</v>
      </c>
      <c r="B126" s="3" t="s">
        <v>14</v>
      </c>
      <c r="C126" s="3">
        <v>189</v>
      </c>
      <c r="D126" s="3">
        <v>26</v>
      </c>
      <c r="E126" s="3" t="s">
        <v>22</v>
      </c>
      <c r="F126" s="3">
        <v>-7.6999999999999999E-2</v>
      </c>
      <c r="G126" s="3">
        <v>9.23</v>
      </c>
      <c r="H126" s="3">
        <v>86.242999999999995</v>
      </c>
      <c r="I126" s="3">
        <v>0.19400000000000001</v>
      </c>
      <c r="K126" s="5" t="b">
        <f>R126&gt;(Total_pos/Total_all)</f>
        <v>0</v>
      </c>
      <c r="L126" s="5"/>
      <c r="M126" s="11">
        <f>(D126/Total_pos)*100</f>
        <v>5.439330543933055</v>
      </c>
      <c r="N126" s="11">
        <f t="shared" si="7"/>
        <v>13.756613756613756</v>
      </c>
      <c r="O126" s="11">
        <f t="shared" si="8"/>
        <v>0.1939185203557458</v>
      </c>
      <c r="P126" s="5">
        <f>Total_all</f>
        <v>2244</v>
      </c>
      <c r="Q126" s="11">
        <f>Total_pos/Total_all</f>
        <v>0.21301247771836007</v>
      </c>
      <c r="R126" s="11">
        <f t="shared" si="9"/>
        <v>0.13756613756613756</v>
      </c>
      <c r="S126" s="11">
        <f t="shared" si="10"/>
        <v>84.384256852942272</v>
      </c>
    </row>
    <row r="127" spans="1:19">
      <c r="A127" s="4" t="s">
        <v>67</v>
      </c>
      <c r="B127" s="4" t="s">
        <v>16</v>
      </c>
      <c r="C127" s="4">
        <v>36</v>
      </c>
      <c r="D127" s="4">
        <v>5</v>
      </c>
      <c r="E127" s="4" t="s">
        <v>22</v>
      </c>
      <c r="F127" s="2">
        <v>1.0880000000000001</v>
      </c>
      <c r="G127" s="4">
        <v>1.7549999999999999</v>
      </c>
      <c r="H127" s="4">
        <v>86.111000000000004</v>
      </c>
      <c r="I127" s="4">
        <v>0.19</v>
      </c>
      <c r="K127" s="5" t="b">
        <f>R127&gt;(Total_pos/Total_all)</f>
        <v>0</v>
      </c>
      <c r="L127" s="5"/>
      <c r="M127" s="11">
        <f>(D127/Total_pos)*100</f>
        <v>1.0460251046025104</v>
      </c>
      <c r="N127" s="11">
        <f t="shared" si="7"/>
        <v>13.888888888888889</v>
      </c>
      <c r="O127" s="11">
        <f t="shared" si="8"/>
        <v>0.19031599999662313</v>
      </c>
      <c r="P127" s="5">
        <f>Total_all</f>
        <v>2244</v>
      </c>
      <c r="Q127" s="11">
        <f>Total_pos/Total_all</f>
        <v>0.21301247771836007</v>
      </c>
      <c r="R127" s="11">
        <f t="shared" si="9"/>
        <v>0.1388888888888889</v>
      </c>
      <c r="S127" s="11">
        <f t="shared" si="10"/>
        <v>81.278083593979673</v>
      </c>
    </row>
    <row r="128" spans="1:19">
      <c r="A128" s="1" t="s">
        <v>153</v>
      </c>
      <c r="B128" s="1" t="s">
        <v>14</v>
      </c>
      <c r="C128" s="1">
        <v>41</v>
      </c>
      <c r="D128" s="1">
        <v>12</v>
      </c>
      <c r="E128" s="1" t="s">
        <v>15</v>
      </c>
      <c r="F128" s="1">
        <v>0.60599999999999998</v>
      </c>
      <c r="G128" s="1">
        <v>2.5099999999999998</v>
      </c>
      <c r="H128" s="1">
        <v>29.268000000000001</v>
      </c>
      <c r="I128" s="1">
        <v>0.187</v>
      </c>
      <c r="K128" s="5" t="b">
        <f>R128&gt;(Total_pos/Total_all)</f>
        <v>1</v>
      </c>
      <c r="L128" s="5"/>
      <c r="M128" s="11">
        <f>(D128/Total_pos)*100</f>
        <v>2.510460251046025</v>
      </c>
      <c r="N128" s="11">
        <f t="shared" si="7"/>
        <v>29.268292682926827</v>
      </c>
      <c r="O128" s="11">
        <f t="shared" si="8"/>
        <v>0.1870961955372436</v>
      </c>
      <c r="P128" s="5">
        <f>Total_all</f>
        <v>2244</v>
      </c>
      <c r="Q128" s="11">
        <f>Total_pos/Total_all</f>
        <v>0.21301247771836007</v>
      </c>
      <c r="R128" s="11">
        <f t="shared" si="9"/>
        <v>0.29268292682926828</v>
      </c>
      <c r="S128" s="11">
        <f t="shared" si="10"/>
        <v>78.551189446841548</v>
      </c>
    </row>
    <row r="129" spans="1:19">
      <c r="A129" s="2" t="s">
        <v>152</v>
      </c>
      <c r="B129" s="2" t="s">
        <v>16</v>
      </c>
      <c r="C129" s="2">
        <v>162</v>
      </c>
      <c r="D129" s="2">
        <v>47</v>
      </c>
      <c r="E129" s="2" t="s">
        <v>15</v>
      </c>
      <c r="F129" s="2">
        <v>8.0000000000000002E-3</v>
      </c>
      <c r="G129" s="2">
        <v>9.8330000000000002</v>
      </c>
      <c r="H129" s="2">
        <v>29.012</v>
      </c>
      <c r="I129" s="2">
        <v>0.18099999999999999</v>
      </c>
      <c r="K129" s="5" t="b">
        <f>R129&gt;(Total_pos/Total_all)</f>
        <v>1</v>
      </c>
      <c r="L129" s="5"/>
      <c r="M129" s="11">
        <f>(D129/Total_pos)*100</f>
        <v>9.8326359832635983</v>
      </c>
      <c r="N129" s="11">
        <f t="shared" si="7"/>
        <v>29.012345679012348</v>
      </c>
      <c r="O129" s="11">
        <f t="shared" si="8"/>
        <v>0.18128385319106738</v>
      </c>
      <c r="P129" s="5">
        <f>Total_all</f>
        <v>2244</v>
      </c>
      <c r="Q129" s="11">
        <f>Total_pos/Total_all</f>
        <v>0.21301247771836007</v>
      </c>
      <c r="R129" s="11">
        <f t="shared" si="9"/>
        <v>0.29012345679012347</v>
      </c>
      <c r="S129" s="11">
        <f t="shared" si="10"/>
        <v>73.746446699984247</v>
      </c>
    </row>
    <row r="130" spans="1:19">
      <c r="A130" s="3" t="s">
        <v>66</v>
      </c>
      <c r="B130" s="3" t="s">
        <v>14</v>
      </c>
      <c r="C130" s="3">
        <v>49</v>
      </c>
      <c r="D130" s="3">
        <v>7</v>
      </c>
      <c r="E130" s="3" t="s">
        <v>22</v>
      </c>
      <c r="F130" s="3">
        <v>-0.123</v>
      </c>
      <c r="G130" s="3">
        <v>2.3780000000000001</v>
      </c>
      <c r="H130" s="3">
        <v>85.713999999999999</v>
      </c>
      <c r="I130" s="3">
        <v>0.18</v>
      </c>
      <c r="K130" s="5" t="b">
        <f>R130&gt;(Total_pos/Total_all)</f>
        <v>0</v>
      </c>
      <c r="L130" s="5"/>
      <c r="M130" s="11">
        <f>(D130/Total_pos)*100</f>
        <v>1.4644351464435146</v>
      </c>
      <c r="N130" s="11">
        <f t="shared" si="7"/>
        <v>14.285714285714285</v>
      </c>
      <c r="O130" s="11">
        <f t="shared" si="8"/>
        <v>0.17956106721221049</v>
      </c>
      <c r="P130" s="5">
        <f>Total_all</f>
        <v>2244</v>
      </c>
      <c r="Q130" s="11">
        <f>Total_pos/Total_all</f>
        <v>0.21301247771836007</v>
      </c>
      <c r="R130" s="11">
        <f t="shared" si="9"/>
        <v>0.14285714285714285</v>
      </c>
      <c r="S130" s="11">
        <f t="shared" si="10"/>
        <v>72.351444870222608</v>
      </c>
    </row>
    <row r="131" spans="1:19">
      <c r="A131" s="1" t="s">
        <v>151</v>
      </c>
      <c r="B131" s="1" t="s">
        <v>14</v>
      </c>
      <c r="C131" s="1">
        <v>60</v>
      </c>
      <c r="D131" s="1">
        <v>17</v>
      </c>
      <c r="E131" s="1" t="s">
        <v>15</v>
      </c>
      <c r="F131" s="1">
        <v>6.3E-2</v>
      </c>
      <c r="G131" s="1">
        <v>3.556</v>
      </c>
      <c r="H131" s="1">
        <v>28.332999999999998</v>
      </c>
      <c r="I131" s="1">
        <v>0.16600000000000001</v>
      </c>
      <c r="K131" s="5" t="b">
        <f>R131&gt;(Total_pos/Total_all)</f>
        <v>1</v>
      </c>
      <c r="L131" s="5"/>
      <c r="M131" s="11">
        <f>(D131/Total_pos)*100</f>
        <v>3.5564853556485359</v>
      </c>
      <c r="N131" s="11">
        <f t="shared" si="7"/>
        <v>28.333333333333332</v>
      </c>
      <c r="O131" s="11">
        <f t="shared" si="8"/>
        <v>0.165809051482456</v>
      </c>
      <c r="P131" s="5">
        <f>Total_all</f>
        <v>2244</v>
      </c>
      <c r="Q131" s="11">
        <f>Total_pos/Total_all</f>
        <v>0.21301247771836007</v>
      </c>
      <c r="R131" s="11">
        <f t="shared" si="9"/>
        <v>0.28333333333333333</v>
      </c>
      <c r="S131" s="11">
        <f t="shared" si="10"/>
        <v>61.693487646080364</v>
      </c>
    </row>
    <row r="132" spans="1:19">
      <c r="A132" s="3" t="s">
        <v>65</v>
      </c>
      <c r="B132" s="3" t="s">
        <v>14</v>
      </c>
      <c r="C132" s="3">
        <v>195</v>
      </c>
      <c r="D132" s="3">
        <v>29</v>
      </c>
      <c r="E132" s="3" t="s">
        <v>22</v>
      </c>
      <c r="F132" s="3">
        <v>-0.224</v>
      </c>
      <c r="G132" s="3">
        <v>9.4</v>
      </c>
      <c r="H132" s="3">
        <v>85.128</v>
      </c>
      <c r="I132" s="3">
        <v>0.16400000000000001</v>
      </c>
      <c r="K132" s="5" t="b">
        <f>R132&gt;(Total_pos/Total_all)</f>
        <v>0</v>
      </c>
      <c r="L132" s="5"/>
      <c r="M132" s="11">
        <f>(D132/Total_pos)*100</f>
        <v>6.0669456066945608</v>
      </c>
      <c r="N132" s="11">
        <f t="shared" si="7"/>
        <v>14.871794871794872</v>
      </c>
      <c r="O132" s="11">
        <f t="shared" si="8"/>
        <v>0.16381629788701585</v>
      </c>
      <c r="P132" s="5">
        <f>Total_all</f>
        <v>2244</v>
      </c>
      <c r="Q132" s="11">
        <f>Total_pos/Total_all</f>
        <v>0.21301247771836007</v>
      </c>
      <c r="R132" s="11">
        <f t="shared" si="9"/>
        <v>0.14871794871794872</v>
      </c>
      <c r="S132" s="11">
        <f t="shared" si="10"/>
        <v>60.219489093446455</v>
      </c>
    </row>
    <row r="133" spans="1:19">
      <c r="A133" s="3" t="s">
        <v>64</v>
      </c>
      <c r="B133" s="3" t="s">
        <v>14</v>
      </c>
      <c r="C133" s="3">
        <v>206</v>
      </c>
      <c r="D133" s="3">
        <v>31</v>
      </c>
      <c r="E133" s="3" t="s">
        <v>22</v>
      </c>
      <c r="F133" s="3">
        <v>-9.9000000000000005E-2</v>
      </c>
      <c r="G133" s="3">
        <v>9.9090000000000007</v>
      </c>
      <c r="H133" s="3">
        <v>84.950999999999993</v>
      </c>
      <c r="I133" s="3">
        <v>0.159</v>
      </c>
      <c r="K133" s="5" t="b">
        <f>R133&gt;(Total_pos/Total_all)</f>
        <v>0</v>
      </c>
      <c r="L133" s="5"/>
      <c r="M133" s="11">
        <f>(D133/Total_pos)*100</f>
        <v>6.485355648535565</v>
      </c>
      <c r="N133" s="11">
        <f t="shared" si="7"/>
        <v>15.048543689320388</v>
      </c>
      <c r="O133" s="11">
        <f t="shared" si="8"/>
        <v>0.1590995146372769</v>
      </c>
      <c r="P133" s="5">
        <f>Total_all</f>
        <v>2244</v>
      </c>
      <c r="Q133" s="11">
        <f>Total_pos/Total_all</f>
        <v>0.21301247771836007</v>
      </c>
      <c r="R133" s="11">
        <f t="shared" si="9"/>
        <v>0.15048543689320387</v>
      </c>
      <c r="S133" s="11">
        <f t="shared" si="10"/>
        <v>56.801599071741542</v>
      </c>
    </row>
    <row r="134" spans="1:19">
      <c r="A134" s="3" t="s">
        <v>63</v>
      </c>
      <c r="B134" s="3" t="s">
        <v>14</v>
      </c>
      <c r="C134" s="3">
        <v>85</v>
      </c>
      <c r="D134" s="3">
        <v>13</v>
      </c>
      <c r="E134" s="3" t="s">
        <v>22</v>
      </c>
      <c r="F134" s="3">
        <v>-0.184</v>
      </c>
      <c r="G134" s="3">
        <v>4.077</v>
      </c>
      <c r="H134" s="3">
        <v>84.706000000000003</v>
      </c>
      <c r="I134" s="3">
        <v>0.153</v>
      </c>
      <c r="K134" s="5" t="b">
        <f>R134&gt;(Total_pos/Total_all)</f>
        <v>0</v>
      </c>
      <c r="L134" s="5"/>
      <c r="M134" s="11">
        <f>(D134/Total_pos)*100</f>
        <v>2.7196652719665275</v>
      </c>
      <c r="N134" s="11">
        <f t="shared" si="7"/>
        <v>15.294117647058824</v>
      </c>
      <c r="O134" s="11">
        <f t="shared" si="8"/>
        <v>0.15256952998619294</v>
      </c>
      <c r="P134" s="5">
        <f>Total_all</f>
        <v>2244</v>
      </c>
      <c r="Q134" s="11">
        <f>Total_pos/Total_all</f>
        <v>0.21301247771836007</v>
      </c>
      <c r="R134" s="11">
        <f t="shared" si="9"/>
        <v>0.15294117647058825</v>
      </c>
      <c r="S134" s="11">
        <f t="shared" si="10"/>
        <v>52.234623561586375</v>
      </c>
    </row>
    <row r="135" spans="1:19">
      <c r="A135" s="4" t="s">
        <v>62</v>
      </c>
      <c r="B135" s="4" t="s">
        <v>16</v>
      </c>
      <c r="C135" s="4">
        <v>77</v>
      </c>
      <c r="D135" s="4">
        <v>12</v>
      </c>
      <c r="E135" s="4" t="s">
        <v>22</v>
      </c>
      <c r="F135" s="4">
        <v>-0.28499999999999998</v>
      </c>
      <c r="G135" s="4">
        <v>3.681</v>
      </c>
      <c r="H135" s="4">
        <v>84.415999999999997</v>
      </c>
      <c r="I135" s="4">
        <v>0.14499999999999999</v>
      </c>
      <c r="K135" s="5" t="b">
        <f>R135&gt;(Total_pos/Total_all)</f>
        <v>0</v>
      </c>
      <c r="L135" s="5"/>
      <c r="M135" s="11">
        <f>(D135/Total_pos)*100</f>
        <v>2.510460251046025</v>
      </c>
      <c r="N135" s="11">
        <f t="shared" si="7"/>
        <v>15.584415584415584</v>
      </c>
      <c r="O135" s="11">
        <f t="shared" si="8"/>
        <v>0.14488480187624167</v>
      </c>
      <c r="P135" s="5">
        <f>Total_all</f>
        <v>2244</v>
      </c>
      <c r="Q135" s="11">
        <f>Total_pos/Total_all</f>
        <v>0.21301247771836007</v>
      </c>
      <c r="R135" s="11">
        <f t="shared" si="9"/>
        <v>0.15584415584415584</v>
      </c>
      <c r="S135" s="11">
        <f t="shared" si="10"/>
        <v>47.105163448226754</v>
      </c>
    </row>
    <row r="136" spans="1:19">
      <c r="A136" s="2" t="s">
        <v>150</v>
      </c>
      <c r="B136" s="2" t="s">
        <v>16</v>
      </c>
      <c r="C136" s="2">
        <v>11</v>
      </c>
      <c r="D136" s="2">
        <v>3</v>
      </c>
      <c r="E136" s="2" t="s">
        <v>15</v>
      </c>
      <c r="F136" s="4">
        <v>-0.61699999999999999</v>
      </c>
      <c r="G136" s="2">
        <v>0.628</v>
      </c>
      <c r="H136" s="2">
        <v>27.273</v>
      </c>
      <c r="I136" s="2">
        <v>0.14099999999999999</v>
      </c>
      <c r="K136" s="5" t="b">
        <f>R136&gt;(Total_pos/Total_all)</f>
        <v>1</v>
      </c>
      <c r="L136" s="5"/>
      <c r="M136" s="11">
        <f>(D136/Total_pos)*100</f>
        <v>0.62761506276150625</v>
      </c>
      <c r="N136" s="11">
        <f t="shared" si="7"/>
        <v>27.27272727272727</v>
      </c>
      <c r="O136" s="11">
        <f t="shared" si="8"/>
        <v>0.14147141371623503</v>
      </c>
      <c r="P136" s="5">
        <f>Total_all</f>
        <v>2244</v>
      </c>
      <c r="Q136" s="11">
        <f>Total_pos/Total_all</f>
        <v>0.21301247771836007</v>
      </c>
      <c r="R136" s="11">
        <f t="shared" si="9"/>
        <v>0.27272727272727271</v>
      </c>
      <c r="S136" s="11">
        <f t="shared" si="10"/>
        <v>44.911777057064583</v>
      </c>
    </row>
    <row r="137" spans="1:19">
      <c r="A137" s="1" t="s">
        <v>149</v>
      </c>
      <c r="B137" s="1" t="s">
        <v>14</v>
      </c>
      <c r="C137" s="1">
        <v>127</v>
      </c>
      <c r="D137" s="1">
        <v>34</v>
      </c>
      <c r="E137" s="1" t="s">
        <v>15</v>
      </c>
      <c r="F137" s="1">
        <v>0.14499999999999999</v>
      </c>
      <c r="G137" s="1">
        <v>7.1130000000000004</v>
      </c>
      <c r="H137" s="1">
        <v>26.771999999999998</v>
      </c>
      <c r="I137" s="1">
        <v>0.13</v>
      </c>
      <c r="K137" s="5" t="b">
        <f>R137&gt;(Total_pos/Total_all)</f>
        <v>1</v>
      </c>
      <c r="L137" s="5"/>
      <c r="M137" s="11">
        <f>(D137/Total_pos)*100</f>
        <v>7.1129707112970717</v>
      </c>
      <c r="N137" s="11">
        <f t="shared" si="7"/>
        <v>26.771653543307089</v>
      </c>
      <c r="O137" s="11">
        <f t="shared" si="8"/>
        <v>0.12989961179147391</v>
      </c>
      <c r="P137" s="5">
        <f>Total_all</f>
        <v>2244</v>
      </c>
      <c r="Q137" s="11">
        <f>Total_pos/Total_all</f>
        <v>0.21301247771836007</v>
      </c>
      <c r="R137" s="11">
        <f t="shared" si="9"/>
        <v>0.26771653543307089</v>
      </c>
      <c r="S137" s="11">
        <f t="shared" si="10"/>
        <v>37.865052118183712</v>
      </c>
    </row>
    <row r="138" spans="1:19">
      <c r="A138" s="4" t="s">
        <v>61</v>
      </c>
      <c r="B138" s="4" t="s">
        <v>16</v>
      </c>
      <c r="C138" s="4">
        <v>74</v>
      </c>
      <c r="D138" s="4">
        <v>12</v>
      </c>
      <c r="E138" s="4" t="s">
        <v>22</v>
      </c>
      <c r="F138" s="4">
        <v>-0.28899999999999998</v>
      </c>
      <c r="G138" s="4">
        <v>3.5110000000000001</v>
      </c>
      <c r="H138" s="4">
        <v>83.784000000000006</v>
      </c>
      <c r="I138" s="4">
        <v>0.128</v>
      </c>
      <c r="K138" s="5" t="b">
        <f>R138&gt;(Total_pos/Total_all)</f>
        <v>0</v>
      </c>
      <c r="L138" s="5"/>
      <c r="M138" s="11">
        <f>(D138/Total_pos)*100</f>
        <v>2.510460251046025</v>
      </c>
      <c r="N138" s="11">
        <f t="shared" si="7"/>
        <v>16.216216216216218</v>
      </c>
      <c r="O138" s="11">
        <f t="shared" si="8"/>
        <v>0.1282847426873131</v>
      </c>
      <c r="P138" s="5">
        <f>Total_all</f>
        <v>2244</v>
      </c>
      <c r="Q138" s="11">
        <f>Total_pos/Total_all</f>
        <v>0.21301247771836007</v>
      </c>
      <c r="R138" s="11">
        <f t="shared" si="9"/>
        <v>0.16216216216216217</v>
      </c>
      <c r="S138" s="11">
        <f t="shared" si="10"/>
        <v>36.929452363049691</v>
      </c>
    </row>
    <row r="139" spans="1:19">
      <c r="A139" s="1" t="s">
        <v>148</v>
      </c>
      <c r="B139" s="1" t="s">
        <v>14</v>
      </c>
      <c r="C139" s="1">
        <v>255</v>
      </c>
      <c r="D139" s="1">
        <v>68</v>
      </c>
      <c r="E139" s="1" t="s">
        <v>15</v>
      </c>
      <c r="F139" s="1">
        <v>7.9000000000000001E-2</v>
      </c>
      <c r="G139" s="1">
        <v>14.226000000000001</v>
      </c>
      <c r="H139" s="1">
        <v>26.667000000000002</v>
      </c>
      <c r="I139" s="1">
        <v>0.127</v>
      </c>
      <c r="K139" s="5" t="b">
        <f>R139&gt;(Total_pos/Total_all)</f>
        <v>1</v>
      </c>
      <c r="L139" s="5"/>
      <c r="M139" s="11">
        <f>(D139/Total_pos)*100</f>
        <v>14.225941422594143</v>
      </c>
      <c r="N139" s="11">
        <f t="shared" si="7"/>
        <v>26.666666666666668</v>
      </c>
      <c r="O139" s="11">
        <f t="shared" si="8"/>
        <v>0.12746884879504686</v>
      </c>
      <c r="P139" s="5">
        <f>Total_all</f>
        <v>2244</v>
      </c>
      <c r="Q139" s="11">
        <f>Total_pos/Total_all</f>
        <v>0.21301247771836007</v>
      </c>
      <c r="R139" s="11">
        <f t="shared" si="9"/>
        <v>0.26666666666666666</v>
      </c>
      <c r="S139" s="11">
        <f t="shared" si="10"/>
        <v>36.461201835073851</v>
      </c>
    </row>
    <row r="140" spans="1:19">
      <c r="A140" s="2" t="s">
        <v>147</v>
      </c>
      <c r="B140" s="2" t="s">
        <v>16</v>
      </c>
      <c r="C140" s="2">
        <v>45</v>
      </c>
      <c r="D140" s="2">
        <v>12</v>
      </c>
      <c r="E140" s="2" t="s">
        <v>15</v>
      </c>
      <c r="F140" s="2">
        <v>2E-3</v>
      </c>
      <c r="G140" s="2">
        <v>2.5099999999999998</v>
      </c>
      <c r="H140" s="2">
        <v>26.667000000000002</v>
      </c>
      <c r="I140" s="2">
        <v>0.127</v>
      </c>
      <c r="K140" s="5" t="b">
        <f>R140&gt;(Total_pos/Total_all)</f>
        <v>1</v>
      </c>
      <c r="L140" s="5"/>
      <c r="M140" s="11">
        <f>(D140/Total_pos)*100</f>
        <v>2.510460251046025</v>
      </c>
      <c r="N140" s="11">
        <f t="shared" si="7"/>
        <v>26.666666666666668</v>
      </c>
      <c r="O140" s="11">
        <f t="shared" si="8"/>
        <v>0.12746884879504686</v>
      </c>
      <c r="P140" s="5">
        <f>Total_all</f>
        <v>2244</v>
      </c>
      <c r="Q140" s="11">
        <f>Total_pos/Total_all</f>
        <v>0.21301247771836007</v>
      </c>
      <c r="R140" s="11">
        <f t="shared" si="9"/>
        <v>0.26666666666666666</v>
      </c>
      <c r="S140" s="11">
        <f t="shared" si="10"/>
        <v>36.461201835073851</v>
      </c>
    </row>
    <row r="141" spans="1:19">
      <c r="A141" s="2" t="s">
        <v>146</v>
      </c>
      <c r="B141" s="2" t="s">
        <v>16</v>
      </c>
      <c r="C141" s="2">
        <v>30</v>
      </c>
      <c r="D141" s="2">
        <v>8</v>
      </c>
      <c r="E141" s="2" t="s">
        <v>15</v>
      </c>
      <c r="F141" s="2">
        <v>0.04</v>
      </c>
      <c r="G141" s="2">
        <v>1.6739999999999999</v>
      </c>
      <c r="H141" s="2">
        <v>26.667000000000002</v>
      </c>
      <c r="I141" s="2">
        <v>0.127</v>
      </c>
      <c r="K141" s="5" t="b">
        <f>R141&gt;(Total_pos/Total_all)</f>
        <v>1</v>
      </c>
      <c r="L141" s="5"/>
      <c r="M141" s="11">
        <f>(D141/Total_pos)*100</f>
        <v>1.6736401673640167</v>
      </c>
      <c r="N141" s="11">
        <f t="shared" si="7"/>
        <v>26.666666666666668</v>
      </c>
      <c r="O141" s="11">
        <f t="shared" si="8"/>
        <v>0.12746884879504686</v>
      </c>
      <c r="P141" s="5">
        <f>Total_all</f>
        <v>2244</v>
      </c>
      <c r="Q141" s="11">
        <f>Total_pos/Total_all</f>
        <v>0.21301247771836007</v>
      </c>
      <c r="R141" s="11">
        <f t="shared" si="9"/>
        <v>0.26666666666666666</v>
      </c>
      <c r="S141" s="11">
        <f t="shared" si="10"/>
        <v>36.461201835073851</v>
      </c>
    </row>
    <row r="142" spans="1:19">
      <c r="A142" s="1" t="s">
        <v>145</v>
      </c>
      <c r="B142" s="1" t="s">
        <v>14</v>
      </c>
      <c r="C142" s="1">
        <v>173</v>
      </c>
      <c r="D142" s="1">
        <v>46</v>
      </c>
      <c r="E142" s="1" t="s">
        <v>15</v>
      </c>
      <c r="F142" s="1">
        <v>0.20599999999999999</v>
      </c>
      <c r="G142" s="1">
        <v>9.6229999999999993</v>
      </c>
      <c r="H142" s="1">
        <v>26.59</v>
      </c>
      <c r="I142" s="1">
        <v>0.126</v>
      </c>
      <c r="K142" s="5" t="b">
        <f>R142&gt;(Total_pos/Total_all)</f>
        <v>1</v>
      </c>
      <c r="L142" s="5"/>
      <c r="M142" s="11">
        <f>(D142/Total_pos)*100</f>
        <v>9.6234309623430967</v>
      </c>
      <c r="N142" s="11">
        <f t="shared" si="7"/>
        <v>26.589595375722542</v>
      </c>
      <c r="O142" s="11">
        <f t="shared" si="8"/>
        <v>0.12568303086348689</v>
      </c>
      <c r="P142" s="5">
        <f>Total_all</f>
        <v>2244</v>
      </c>
      <c r="Q142" s="11">
        <f>Total_pos/Total_all</f>
        <v>0.21301247771836007</v>
      </c>
      <c r="R142" s="11">
        <f t="shared" si="9"/>
        <v>0.26589595375722541</v>
      </c>
      <c r="S142" s="11">
        <f t="shared" si="10"/>
        <v>35.446727210340249</v>
      </c>
    </row>
    <row r="143" spans="1:19">
      <c r="A143" s="1" t="s">
        <v>144</v>
      </c>
      <c r="B143" s="1" t="s">
        <v>14</v>
      </c>
      <c r="C143" s="1">
        <v>64</v>
      </c>
      <c r="D143" s="1">
        <v>17</v>
      </c>
      <c r="E143" s="1" t="s">
        <v>15</v>
      </c>
      <c r="F143" s="1">
        <v>0.01</v>
      </c>
      <c r="G143" s="1">
        <v>3.556</v>
      </c>
      <c r="H143" s="1">
        <v>26.562000000000001</v>
      </c>
      <c r="I143" s="1">
        <v>0.125</v>
      </c>
      <c r="K143" s="5" t="b">
        <f>R143&gt;(Total_pos/Total_all)</f>
        <v>1</v>
      </c>
      <c r="L143" s="5"/>
      <c r="M143" s="11">
        <f>(D143/Total_pos)*100</f>
        <v>3.5564853556485359</v>
      </c>
      <c r="N143" s="11">
        <f t="shared" si="7"/>
        <v>26.5625</v>
      </c>
      <c r="O143" s="11">
        <f t="shared" si="8"/>
        <v>0.12505492448029196</v>
      </c>
      <c r="P143" s="5">
        <f>Total_all</f>
        <v>2244</v>
      </c>
      <c r="Q143" s="11">
        <f>Total_pos/Total_all</f>
        <v>0.21301247771836007</v>
      </c>
      <c r="R143" s="11">
        <f t="shared" si="9"/>
        <v>0.265625</v>
      </c>
      <c r="S143" s="11">
        <f t="shared" si="10"/>
        <v>35.093319402915306</v>
      </c>
    </row>
    <row r="144" spans="1:19">
      <c r="A144" s="1" t="s">
        <v>143</v>
      </c>
      <c r="B144" s="1" t="s">
        <v>14</v>
      </c>
      <c r="C144" s="1">
        <v>72</v>
      </c>
      <c r="D144" s="1">
        <v>19</v>
      </c>
      <c r="E144" s="1" t="s">
        <v>15</v>
      </c>
      <c r="F144" s="1">
        <v>4.9000000000000002E-2</v>
      </c>
      <c r="G144" s="1">
        <v>3.9750000000000001</v>
      </c>
      <c r="H144" s="1">
        <v>26.388999999999999</v>
      </c>
      <c r="I144" s="1">
        <v>0.121</v>
      </c>
      <c r="K144" s="5" t="b">
        <f>R144&gt;(Total_pos/Total_all)</f>
        <v>1</v>
      </c>
      <c r="L144" s="5"/>
      <c r="M144" s="11">
        <f>(D144/Total_pos)*100</f>
        <v>3.9748953974895396</v>
      </c>
      <c r="N144" s="11">
        <f t="shared" si="7"/>
        <v>26.388888888888889</v>
      </c>
      <c r="O144" s="11">
        <f t="shared" si="8"/>
        <v>0.12102691763387667</v>
      </c>
      <c r="P144" s="5">
        <f>Total_all</f>
        <v>2244</v>
      </c>
      <c r="Q144" s="11">
        <f>Total_pos/Total_all</f>
        <v>0.21301247771836007</v>
      </c>
      <c r="R144" s="11">
        <f t="shared" si="9"/>
        <v>0.2638888888888889</v>
      </c>
      <c r="S144" s="11">
        <f t="shared" si="10"/>
        <v>32.869023193151882</v>
      </c>
    </row>
    <row r="145" spans="1:19">
      <c r="A145" s="4" t="s">
        <v>60</v>
      </c>
      <c r="B145" s="4" t="s">
        <v>16</v>
      </c>
      <c r="C145" s="4">
        <v>279</v>
      </c>
      <c r="D145" s="4">
        <v>47</v>
      </c>
      <c r="E145" s="4" t="s">
        <v>22</v>
      </c>
      <c r="F145" s="4">
        <v>-1.2999999999999999E-2</v>
      </c>
      <c r="G145" s="4">
        <v>13.137</v>
      </c>
      <c r="H145" s="4">
        <v>83.153999999999996</v>
      </c>
      <c r="I145" s="4">
        <v>0.112</v>
      </c>
      <c r="K145" s="5" t="b">
        <f>R145&gt;(Total_pos/Total_all)</f>
        <v>0</v>
      </c>
      <c r="L145" s="5"/>
      <c r="M145" s="11">
        <f>(D145/Total_pos)*100</f>
        <v>9.8326359832635983</v>
      </c>
      <c r="N145" s="11">
        <f t="shared" si="7"/>
        <v>16.845878136200717</v>
      </c>
      <c r="O145" s="11">
        <f t="shared" si="8"/>
        <v>0.11190378980046101</v>
      </c>
      <c r="P145" s="5">
        <f>Total_all</f>
        <v>2244</v>
      </c>
      <c r="Q145" s="11">
        <f>Total_pos/Total_all</f>
        <v>0.21301247771836007</v>
      </c>
      <c r="R145" s="11">
        <f t="shared" si="9"/>
        <v>0.16845878136200718</v>
      </c>
      <c r="S145" s="11">
        <f t="shared" si="10"/>
        <v>28.100396137307726</v>
      </c>
    </row>
    <row r="146" spans="1:19">
      <c r="A146" s="1" t="s">
        <v>142</v>
      </c>
      <c r="B146" s="1" t="s">
        <v>14</v>
      </c>
      <c r="C146" s="1">
        <v>173</v>
      </c>
      <c r="D146" s="1">
        <v>45</v>
      </c>
      <c r="E146" s="1" t="s">
        <v>15</v>
      </c>
      <c r="F146" s="1">
        <v>0.215</v>
      </c>
      <c r="G146" s="1">
        <v>9.4139999999999997</v>
      </c>
      <c r="H146" s="1">
        <v>26.012</v>
      </c>
      <c r="I146" s="1">
        <v>0.112</v>
      </c>
      <c r="K146" s="5" t="b">
        <f>R146&gt;(Total_pos/Total_all)</f>
        <v>1</v>
      </c>
      <c r="L146" s="5"/>
      <c r="M146" s="11">
        <f>(D146/Total_pos)*100</f>
        <v>9.4142259414225933</v>
      </c>
      <c r="N146" s="11">
        <f t="shared" si="7"/>
        <v>26.011560693641616</v>
      </c>
      <c r="O146" s="11">
        <f t="shared" si="8"/>
        <v>0.11225143903099558</v>
      </c>
      <c r="P146" s="5">
        <f>Total_all</f>
        <v>2244</v>
      </c>
      <c r="Q146" s="11">
        <f>Total_pos/Total_all</f>
        <v>0.21301247771836007</v>
      </c>
      <c r="R146" s="11">
        <f t="shared" si="9"/>
        <v>0.26011560693641617</v>
      </c>
      <c r="S146" s="11">
        <f t="shared" si="10"/>
        <v>28.275265206803788</v>
      </c>
    </row>
    <row r="147" spans="1:19">
      <c r="A147" s="1" t="s">
        <v>141</v>
      </c>
      <c r="B147" s="1" t="s">
        <v>14</v>
      </c>
      <c r="C147" s="1">
        <v>505</v>
      </c>
      <c r="D147" s="1">
        <v>131</v>
      </c>
      <c r="E147" s="1" t="s">
        <v>15</v>
      </c>
      <c r="F147" s="1">
        <v>-4.0000000000000001E-3</v>
      </c>
      <c r="G147" s="1">
        <v>27.405999999999999</v>
      </c>
      <c r="H147" s="1">
        <v>25.940999999999999</v>
      </c>
      <c r="I147" s="1">
        <v>0.111</v>
      </c>
      <c r="K147" s="5" t="b">
        <f>R147&gt;(Total_pos/Total_all)</f>
        <v>1</v>
      </c>
      <c r="L147" s="5"/>
      <c r="M147" s="11">
        <f>(D147/Total_pos)*100</f>
        <v>27.405857740585777</v>
      </c>
      <c r="N147" s="11">
        <f t="shared" si="7"/>
        <v>25.940594059405942</v>
      </c>
      <c r="O147" s="11">
        <f t="shared" si="8"/>
        <v>0.11059772670848959</v>
      </c>
      <c r="P147" s="5">
        <f>Total_all</f>
        <v>2244</v>
      </c>
      <c r="Q147" s="11">
        <f>Total_pos/Total_all</f>
        <v>0.21301247771836007</v>
      </c>
      <c r="R147" s="11">
        <f t="shared" si="9"/>
        <v>0.25940594059405941</v>
      </c>
      <c r="S147" s="11">
        <f t="shared" si="10"/>
        <v>27.448287451524426</v>
      </c>
    </row>
    <row r="148" spans="1:19">
      <c r="A148" s="3" t="s">
        <v>59</v>
      </c>
      <c r="B148" s="3" t="s">
        <v>14</v>
      </c>
      <c r="C148" s="3">
        <v>83</v>
      </c>
      <c r="D148" s="3">
        <v>14</v>
      </c>
      <c r="E148" s="3" t="s">
        <v>22</v>
      </c>
      <c r="F148" s="3">
        <v>-0.28699999999999998</v>
      </c>
      <c r="G148" s="3">
        <v>3.907</v>
      </c>
      <c r="H148" s="3">
        <v>83.132999999999996</v>
      </c>
      <c r="I148" s="3">
        <v>0.111</v>
      </c>
      <c r="K148" s="5" t="b">
        <f>R148&gt;(Total_pos/Total_all)</f>
        <v>0</v>
      </c>
      <c r="L148" s="5"/>
      <c r="M148" s="11">
        <f>(D148/Total_pos)*100</f>
        <v>2.9288702928870292</v>
      </c>
      <c r="N148" s="11">
        <f t="shared" si="7"/>
        <v>16.867469879518072</v>
      </c>
      <c r="O148" s="11">
        <f t="shared" si="8"/>
        <v>0.11134485244097482</v>
      </c>
      <c r="P148" s="5">
        <f>Total_all</f>
        <v>2244</v>
      </c>
      <c r="Q148" s="11">
        <f>Total_pos/Total_all</f>
        <v>0.21301247771836007</v>
      </c>
      <c r="R148" s="11">
        <f t="shared" si="9"/>
        <v>0.16867469879518071</v>
      </c>
      <c r="S148" s="11">
        <f t="shared" si="10"/>
        <v>27.820385314489911</v>
      </c>
    </row>
    <row r="149" spans="1:19">
      <c r="A149" s="2" t="s">
        <v>140</v>
      </c>
      <c r="B149" s="2" t="s">
        <v>16</v>
      </c>
      <c r="C149" s="2">
        <v>220</v>
      </c>
      <c r="D149" s="2">
        <v>57</v>
      </c>
      <c r="E149" s="2" t="s">
        <v>15</v>
      </c>
      <c r="F149" s="2">
        <v>0.20499999999999999</v>
      </c>
      <c r="G149" s="2">
        <v>11.925000000000001</v>
      </c>
      <c r="H149" s="2">
        <v>25.908999999999999</v>
      </c>
      <c r="I149" s="2">
        <v>0.11</v>
      </c>
      <c r="K149" s="5" t="b">
        <f>R149&gt;(Total_pos/Total_all)</f>
        <v>1</v>
      </c>
      <c r="L149" s="5"/>
      <c r="M149" s="11">
        <f>(D149/Total_pos)*100</f>
        <v>11.92468619246862</v>
      </c>
      <c r="N149" s="11">
        <f t="shared" si="7"/>
        <v>25.90909090909091</v>
      </c>
      <c r="O149" s="11">
        <f t="shared" si="8"/>
        <v>0.10986328612464649</v>
      </c>
      <c r="P149" s="5">
        <f>Total_all</f>
        <v>2244</v>
      </c>
      <c r="Q149" s="11">
        <f>Total_pos/Total_all</f>
        <v>0.21301247771836007</v>
      </c>
      <c r="R149" s="11">
        <f t="shared" si="9"/>
        <v>0.25909090909090909</v>
      </c>
      <c r="S149" s="11">
        <f t="shared" si="10"/>
        <v>27.084949035909737</v>
      </c>
    </row>
    <row r="150" spans="1:19">
      <c r="A150" s="1" t="s">
        <v>139</v>
      </c>
      <c r="B150" s="1" t="s">
        <v>14</v>
      </c>
      <c r="C150" s="1">
        <v>253</v>
      </c>
      <c r="D150" s="1">
        <v>65</v>
      </c>
      <c r="E150" s="1" t="s">
        <v>15</v>
      </c>
      <c r="F150" s="1">
        <v>6.6000000000000003E-2</v>
      </c>
      <c r="G150" s="1">
        <v>13.598000000000001</v>
      </c>
      <c r="H150" s="1">
        <v>25.692</v>
      </c>
      <c r="I150" s="1">
        <v>0.105</v>
      </c>
      <c r="K150" s="5" t="b">
        <f>R150&gt;(Total_pos/Total_all)</f>
        <v>1</v>
      </c>
      <c r="L150" s="5"/>
      <c r="M150" s="11">
        <f>(D150/Total_pos)*100</f>
        <v>13.598326359832635</v>
      </c>
      <c r="N150" s="11">
        <f t="shared" si="7"/>
        <v>25.691699604743086</v>
      </c>
      <c r="O150" s="11">
        <f t="shared" si="8"/>
        <v>0.10478957258114115</v>
      </c>
      <c r="P150" s="5">
        <f>Total_all</f>
        <v>2244</v>
      </c>
      <c r="Q150" s="11">
        <f>Total_pos/Total_all</f>
        <v>0.21301247771836007</v>
      </c>
      <c r="R150" s="11">
        <f t="shared" si="9"/>
        <v>0.25691699604743085</v>
      </c>
      <c r="S150" s="11">
        <f t="shared" si="10"/>
        <v>24.64103754678063</v>
      </c>
    </row>
    <row r="151" spans="1:19">
      <c r="A151" s="4" t="s">
        <v>58</v>
      </c>
      <c r="B151" s="4" t="s">
        <v>16</v>
      </c>
      <c r="C151" s="4">
        <v>367</v>
      </c>
      <c r="D151" s="4">
        <v>63</v>
      </c>
      <c r="E151" s="4" t="s">
        <v>22</v>
      </c>
      <c r="F151" s="4">
        <v>-0.20499999999999999</v>
      </c>
      <c r="G151" s="4">
        <v>17.213999999999999</v>
      </c>
      <c r="H151" s="4">
        <v>82.834000000000003</v>
      </c>
      <c r="I151" s="4">
        <v>0.104</v>
      </c>
      <c r="K151" s="5" t="b">
        <f>R151&gt;(Total_pos/Total_all)</f>
        <v>0</v>
      </c>
      <c r="L151" s="5"/>
      <c r="M151" s="11">
        <f>(D151/Total_pos)*100</f>
        <v>13.179916317991633</v>
      </c>
      <c r="N151" s="11">
        <f t="shared" si="7"/>
        <v>17.166212534059948</v>
      </c>
      <c r="O151" s="11">
        <f t="shared" si="8"/>
        <v>0.10362985880435276</v>
      </c>
      <c r="P151" s="5">
        <f>Total_all</f>
        <v>2244</v>
      </c>
      <c r="Q151" s="11">
        <f>Total_pos/Total_all</f>
        <v>0.21301247771836007</v>
      </c>
      <c r="R151" s="11">
        <f t="shared" si="9"/>
        <v>0.17166212534059946</v>
      </c>
      <c r="S151" s="11">
        <f t="shared" si="10"/>
        <v>24.098647294757843</v>
      </c>
    </row>
    <row r="152" spans="1:19">
      <c r="A152" s="1" t="s">
        <v>138</v>
      </c>
      <c r="B152" s="1" t="s">
        <v>14</v>
      </c>
      <c r="C152" s="1">
        <v>39</v>
      </c>
      <c r="D152" s="1">
        <v>10</v>
      </c>
      <c r="E152" s="1" t="s">
        <v>15</v>
      </c>
      <c r="F152" s="3">
        <v>-0.26</v>
      </c>
      <c r="G152" s="1">
        <v>2.0920000000000001</v>
      </c>
      <c r="H152" s="1">
        <v>25.640999999999998</v>
      </c>
      <c r="I152" s="1">
        <v>0.104</v>
      </c>
      <c r="K152" s="5" t="b">
        <f>R152&gt;(Total_pos/Total_all)</f>
        <v>1</v>
      </c>
      <c r="L152" s="5"/>
      <c r="M152" s="11">
        <f>(D152/Total_pos)*100</f>
        <v>2.0920502092050208</v>
      </c>
      <c r="N152" s="11">
        <f t="shared" si="7"/>
        <v>25.641025641025639</v>
      </c>
      <c r="O152" s="11">
        <f t="shared" si="8"/>
        <v>0.10360546983012782</v>
      </c>
      <c r="P152" s="5">
        <f>Total_all</f>
        <v>2244</v>
      </c>
      <c r="Q152" s="11">
        <f>Total_pos/Total_all</f>
        <v>0.21301247771836007</v>
      </c>
      <c r="R152" s="11">
        <f t="shared" si="9"/>
        <v>0.25641025641025639</v>
      </c>
      <c r="S152" s="11">
        <f t="shared" si="10"/>
        <v>24.087305541851105</v>
      </c>
    </row>
    <row r="153" spans="1:19">
      <c r="A153" s="3" t="s">
        <v>57</v>
      </c>
      <c r="B153" s="3" t="s">
        <v>14</v>
      </c>
      <c r="C153" s="3">
        <v>246</v>
      </c>
      <c r="D153" s="3">
        <v>43</v>
      </c>
      <c r="E153" s="3" t="s">
        <v>22</v>
      </c>
      <c r="F153" s="3">
        <v>-0.19600000000000001</v>
      </c>
      <c r="G153" s="3">
        <v>11.494999999999999</v>
      </c>
      <c r="H153" s="3">
        <v>82.52</v>
      </c>
      <c r="I153" s="3">
        <v>9.6000000000000002E-2</v>
      </c>
      <c r="K153" s="5" t="b">
        <f>R153&gt;(Total_pos/Total_all)</f>
        <v>0</v>
      </c>
      <c r="L153" s="5"/>
      <c r="M153" s="11">
        <f>(D153/Total_pos)*100</f>
        <v>8.99581589958159</v>
      </c>
      <c r="N153" s="11">
        <f t="shared" si="7"/>
        <v>17.479674796747968</v>
      </c>
      <c r="O153" s="11">
        <f t="shared" si="8"/>
        <v>9.5571094790620592E-2</v>
      </c>
      <c r="P153" s="5">
        <f>Total_all</f>
        <v>2244</v>
      </c>
      <c r="Q153" s="11">
        <f>Total_pos/Total_all</f>
        <v>0.21301247771836007</v>
      </c>
      <c r="R153" s="11">
        <f t="shared" si="9"/>
        <v>0.17479674796747968</v>
      </c>
      <c r="S153" s="11">
        <f t="shared" si="10"/>
        <v>20.496323853868152</v>
      </c>
    </row>
    <row r="154" spans="1:19">
      <c r="A154" s="3" t="s">
        <v>56</v>
      </c>
      <c r="B154" s="3" t="s">
        <v>14</v>
      </c>
      <c r="C154" s="3">
        <v>97</v>
      </c>
      <c r="D154" s="3">
        <v>17</v>
      </c>
      <c r="E154" s="3" t="s">
        <v>22</v>
      </c>
      <c r="F154" s="3">
        <v>0.16300000000000001</v>
      </c>
      <c r="G154" s="3">
        <v>4.53</v>
      </c>
      <c r="H154" s="3">
        <v>82.474000000000004</v>
      </c>
      <c r="I154" s="3">
        <v>9.4E-2</v>
      </c>
      <c r="K154" s="5" t="b">
        <f>R154&gt;(Total_pos/Total_all)</f>
        <v>0</v>
      </c>
      <c r="L154" s="5"/>
      <c r="M154" s="11">
        <f>(D154/Total_pos)*100</f>
        <v>3.5564853556485359</v>
      </c>
      <c r="N154" s="11">
        <f t="shared" si="7"/>
        <v>17.525773195876287</v>
      </c>
      <c r="O154" s="11">
        <f t="shared" si="8"/>
        <v>9.438904214116238E-2</v>
      </c>
      <c r="P154" s="5">
        <f>Total_all</f>
        <v>2244</v>
      </c>
      <c r="Q154" s="11">
        <f>Total_pos/Total_all</f>
        <v>0.21301247771836007</v>
      </c>
      <c r="R154" s="11">
        <f t="shared" si="9"/>
        <v>0.17525773195876287</v>
      </c>
      <c r="S154" s="11">
        <f t="shared" si="10"/>
        <v>19.992449624075832</v>
      </c>
    </row>
    <row r="155" spans="1:19">
      <c r="A155" s="4" t="s">
        <v>55</v>
      </c>
      <c r="B155" s="4" t="s">
        <v>16</v>
      </c>
      <c r="C155" s="4">
        <v>358</v>
      </c>
      <c r="D155" s="4">
        <v>63</v>
      </c>
      <c r="E155" s="4" t="s">
        <v>22</v>
      </c>
      <c r="F155" s="4">
        <v>-0.124</v>
      </c>
      <c r="G155" s="4">
        <v>16.704000000000001</v>
      </c>
      <c r="H155" s="4">
        <v>82.402000000000001</v>
      </c>
      <c r="I155" s="4">
        <v>9.2999999999999999E-2</v>
      </c>
      <c r="K155" s="5" t="b">
        <f>R155&gt;(Total_pos/Total_all)</f>
        <v>0</v>
      </c>
      <c r="L155" s="5"/>
      <c r="M155" s="11">
        <f>(D155/Total_pos)*100</f>
        <v>13.179916317991633</v>
      </c>
      <c r="N155" s="11">
        <f t="shared" si="7"/>
        <v>17.597765363128492</v>
      </c>
      <c r="O155" s="11">
        <f t="shared" si="8"/>
        <v>9.2544587447857374E-2</v>
      </c>
      <c r="P155" s="5">
        <f>Total_all</f>
        <v>2244</v>
      </c>
      <c r="Q155" s="11">
        <f>Total_pos/Total_all</f>
        <v>0.21301247771836007</v>
      </c>
      <c r="R155" s="11">
        <f t="shared" si="9"/>
        <v>0.17597765363128492</v>
      </c>
      <c r="S155" s="11">
        <f t="shared" si="10"/>
        <v>19.218739494266405</v>
      </c>
    </row>
    <row r="156" spans="1:19">
      <c r="A156" s="1" t="s">
        <v>137</v>
      </c>
      <c r="B156" s="1" t="s">
        <v>14</v>
      </c>
      <c r="C156" s="1">
        <v>151</v>
      </c>
      <c r="D156" s="1">
        <v>38</v>
      </c>
      <c r="E156" s="1" t="s">
        <v>15</v>
      </c>
      <c r="F156" s="4">
        <v>-0.20300000000000001</v>
      </c>
      <c r="G156" s="1">
        <v>7.95</v>
      </c>
      <c r="H156" s="1">
        <v>25.166</v>
      </c>
      <c r="I156" s="1">
        <v>9.1999999999999998E-2</v>
      </c>
      <c r="K156" s="5" t="b">
        <f>R156&gt;(Total_pos/Total_all)</f>
        <v>1</v>
      </c>
      <c r="L156" s="5"/>
      <c r="M156" s="11">
        <f>(D156/Total_pos)*100</f>
        <v>7.9497907949790791</v>
      </c>
      <c r="N156" s="11">
        <f t="shared" si="7"/>
        <v>25.165562913907287</v>
      </c>
      <c r="O156" s="11">
        <f t="shared" si="8"/>
        <v>9.2468758416811805E-2</v>
      </c>
      <c r="P156" s="5">
        <f>Total_all</f>
        <v>2244</v>
      </c>
      <c r="Q156" s="11">
        <f>Total_pos/Total_all</f>
        <v>0.21301247771836007</v>
      </c>
      <c r="R156" s="11">
        <f t="shared" si="9"/>
        <v>0.25165562913907286</v>
      </c>
      <c r="S156" s="11">
        <f t="shared" si="10"/>
        <v>19.187257559381205</v>
      </c>
    </row>
    <row r="157" spans="1:19">
      <c r="A157" s="1" t="s">
        <v>136</v>
      </c>
      <c r="B157" s="1" t="s">
        <v>14</v>
      </c>
      <c r="C157" s="1">
        <v>227</v>
      </c>
      <c r="D157" s="1">
        <v>57</v>
      </c>
      <c r="E157" s="1" t="s">
        <v>15</v>
      </c>
      <c r="F157" s="1">
        <v>7.4999999999999997E-2</v>
      </c>
      <c r="G157" s="1">
        <v>11.925000000000001</v>
      </c>
      <c r="H157" s="1">
        <v>25.11</v>
      </c>
      <c r="I157" s="1">
        <v>9.0999999999999998E-2</v>
      </c>
      <c r="K157" s="5" t="b">
        <f>R157&gt;(Total_pos/Total_all)</f>
        <v>1</v>
      </c>
      <c r="L157" s="5"/>
      <c r="M157" s="11">
        <f>(D157/Total_pos)*100</f>
        <v>11.92468619246862</v>
      </c>
      <c r="N157" s="11">
        <f t="shared" si="7"/>
        <v>25.110132158590311</v>
      </c>
      <c r="O157" s="11">
        <f t="shared" si="8"/>
        <v>9.1167250806474975E-2</v>
      </c>
      <c r="P157" s="5">
        <f>Total_all</f>
        <v>2244</v>
      </c>
      <c r="Q157" s="11">
        <f>Total_pos/Total_all</f>
        <v>0.21301247771836007</v>
      </c>
      <c r="R157" s="11">
        <f t="shared" si="9"/>
        <v>0.25110132158590309</v>
      </c>
      <c r="S157" s="11">
        <f t="shared" si="10"/>
        <v>18.650933338406439</v>
      </c>
    </row>
    <row r="158" spans="1:19">
      <c r="A158" s="2" t="s">
        <v>135</v>
      </c>
      <c r="B158" s="2" t="s">
        <v>16</v>
      </c>
      <c r="C158" s="2">
        <v>264</v>
      </c>
      <c r="D158" s="2">
        <v>66</v>
      </c>
      <c r="E158" s="2" t="s">
        <v>15</v>
      </c>
      <c r="F158" s="2">
        <v>4.5999999999999999E-2</v>
      </c>
      <c r="G158" s="2">
        <v>13.808</v>
      </c>
      <c r="H158" s="2">
        <v>25</v>
      </c>
      <c r="I158" s="2">
        <v>8.8999999999999996E-2</v>
      </c>
      <c r="K158" s="5" t="b">
        <f>R158&gt;(Total_pos/Total_all)</f>
        <v>1</v>
      </c>
      <c r="L158" s="5"/>
      <c r="M158" s="11">
        <f>(D158/Total_pos)*100</f>
        <v>13.807531380753138</v>
      </c>
      <c r="N158" s="11">
        <f t="shared" si="7"/>
        <v>25</v>
      </c>
      <c r="O158" s="11">
        <f t="shared" si="8"/>
        <v>8.8579377148245722E-2</v>
      </c>
      <c r="P158" s="5">
        <f>Total_all</f>
        <v>2244</v>
      </c>
      <c r="Q158" s="11">
        <f>Total_pos/Total_all</f>
        <v>0.21301247771836007</v>
      </c>
      <c r="R158" s="11">
        <f t="shared" si="9"/>
        <v>0.25</v>
      </c>
      <c r="S158" s="11">
        <f t="shared" si="10"/>
        <v>17.607110789599272</v>
      </c>
    </row>
    <row r="159" spans="1:19">
      <c r="A159" s="1" t="s">
        <v>134</v>
      </c>
      <c r="B159" s="1" t="s">
        <v>14</v>
      </c>
      <c r="C159" s="1">
        <v>112</v>
      </c>
      <c r="D159" s="1">
        <v>28</v>
      </c>
      <c r="E159" s="1" t="s">
        <v>15</v>
      </c>
      <c r="F159" s="1">
        <v>1.2999999999999999E-2</v>
      </c>
      <c r="G159" s="1">
        <v>5.8579999999999997</v>
      </c>
      <c r="H159" s="1">
        <v>25</v>
      </c>
      <c r="I159" s="1">
        <v>8.8999999999999996E-2</v>
      </c>
      <c r="K159" s="5" t="b">
        <f>R159&gt;(Total_pos/Total_all)</f>
        <v>1</v>
      </c>
      <c r="L159" s="5"/>
      <c r="M159" s="11">
        <f>(D159/Total_pos)*100</f>
        <v>5.8577405857740583</v>
      </c>
      <c r="N159" s="11">
        <f t="shared" si="7"/>
        <v>25</v>
      </c>
      <c r="O159" s="11">
        <f t="shared" si="8"/>
        <v>8.8579377148245722E-2</v>
      </c>
      <c r="P159" s="5">
        <f>Total_all</f>
        <v>2244</v>
      </c>
      <c r="Q159" s="11">
        <f>Total_pos/Total_all</f>
        <v>0.21301247771836007</v>
      </c>
      <c r="R159" s="11">
        <f t="shared" si="9"/>
        <v>0.25</v>
      </c>
      <c r="S159" s="11">
        <f t="shared" si="10"/>
        <v>17.607110789599272</v>
      </c>
    </row>
    <row r="160" spans="1:19">
      <c r="A160" s="4" t="s">
        <v>54</v>
      </c>
      <c r="B160" s="4" t="s">
        <v>16</v>
      </c>
      <c r="C160" s="4">
        <v>45</v>
      </c>
      <c r="D160" s="4">
        <v>8</v>
      </c>
      <c r="E160" s="4" t="s">
        <v>22</v>
      </c>
      <c r="F160" s="1">
        <v>0.41599999999999998</v>
      </c>
      <c r="G160" s="4">
        <v>2.0950000000000002</v>
      </c>
      <c r="H160" s="4">
        <v>82.221999999999994</v>
      </c>
      <c r="I160" s="4">
        <v>8.7999999999999995E-2</v>
      </c>
      <c r="K160" s="5" t="b">
        <f>R160&gt;(Total_pos/Total_all)</f>
        <v>0</v>
      </c>
      <c r="L160" s="5"/>
      <c r="M160" s="11">
        <f>(D160/Total_pos)*100</f>
        <v>1.6736401673640167</v>
      </c>
      <c r="N160" s="11">
        <f t="shared" si="7"/>
        <v>17.777777777777779</v>
      </c>
      <c r="O160" s="11">
        <f t="shared" si="8"/>
        <v>8.79409138837281E-2</v>
      </c>
      <c r="P160" s="5">
        <f>Total_all</f>
        <v>2244</v>
      </c>
      <c r="Q160" s="11">
        <f>Total_pos/Total_all</f>
        <v>0.21301247771836007</v>
      </c>
      <c r="R160" s="11">
        <f t="shared" si="9"/>
        <v>0.17777777777777778</v>
      </c>
      <c r="S160" s="11">
        <f t="shared" si="10"/>
        <v>17.354208127078653</v>
      </c>
    </row>
    <row r="161" spans="1:19">
      <c r="A161" s="1" t="s">
        <v>133</v>
      </c>
      <c r="B161" s="1" t="s">
        <v>14</v>
      </c>
      <c r="C161" s="1">
        <v>185</v>
      </c>
      <c r="D161" s="1">
        <v>46</v>
      </c>
      <c r="E161" s="1" t="s">
        <v>15</v>
      </c>
      <c r="F161" s="1">
        <v>0.14399999999999999</v>
      </c>
      <c r="G161" s="1">
        <v>9.6229999999999993</v>
      </c>
      <c r="H161" s="1">
        <v>24.864999999999998</v>
      </c>
      <c r="I161" s="1">
        <v>8.5000000000000006E-2</v>
      </c>
      <c r="K161" s="5" t="b">
        <f>R161&gt;(Total_pos/Total_all)</f>
        <v>1</v>
      </c>
      <c r="L161" s="5"/>
      <c r="M161" s="11">
        <f>(D161/Total_pos)*100</f>
        <v>9.6234309623430967</v>
      </c>
      <c r="N161" s="11">
        <f t="shared" si="7"/>
        <v>24.864864864864867</v>
      </c>
      <c r="O161" s="11">
        <f t="shared" si="8"/>
        <v>8.5400358038568075E-2</v>
      </c>
      <c r="P161" s="5">
        <f>Total_all</f>
        <v>2244</v>
      </c>
      <c r="Q161" s="11">
        <f>Total_pos/Total_all</f>
        <v>0.21301247771836007</v>
      </c>
      <c r="R161" s="11">
        <f t="shared" si="9"/>
        <v>0.24864864864864866</v>
      </c>
      <c r="S161" s="11">
        <f t="shared" si="10"/>
        <v>16.365988267591451</v>
      </c>
    </row>
    <row r="162" spans="1:19">
      <c r="A162" s="4" t="s">
        <v>53</v>
      </c>
      <c r="B162" s="4" t="s">
        <v>16</v>
      </c>
      <c r="C162" s="4">
        <v>95</v>
      </c>
      <c r="D162" s="4">
        <v>17</v>
      </c>
      <c r="E162" s="4" t="s">
        <v>22</v>
      </c>
      <c r="F162" s="1">
        <v>7.0000000000000007E-2</v>
      </c>
      <c r="G162" s="4">
        <v>4.4169999999999998</v>
      </c>
      <c r="H162" s="4">
        <v>82.105000000000004</v>
      </c>
      <c r="I162" s="4">
        <v>8.5000000000000006E-2</v>
      </c>
      <c r="K162" s="5" t="b">
        <f>R162&gt;(Total_pos/Total_all)</f>
        <v>0</v>
      </c>
      <c r="L162" s="5"/>
      <c r="M162" s="11">
        <f>(D162/Total_pos)*100</f>
        <v>3.5564853556485359</v>
      </c>
      <c r="N162" s="11">
        <f t="shared" si="7"/>
        <v>17.894736842105264</v>
      </c>
      <c r="O162" s="11">
        <f t="shared" si="8"/>
        <v>8.4956060048255788E-2</v>
      </c>
      <c r="P162" s="5">
        <f>Total_all</f>
        <v>2244</v>
      </c>
      <c r="Q162" s="11">
        <f>Total_pos/Total_all</f>
        <v>0.21301247771836007</v>
      </c>
      <c r="R162" s="11">
        <f t="shared" si="9"/>
        <v>0.17894736842105263</v>
      </c>
      <c r="S162" s="11">
        <f t="shared" si="10"/>
        <v>16.196142119742863</v>
      </c>
    </row>
    <row r="163" spans="1:19">
      <c r="A163" s="4" t="s">
        <v>52</v>
      </c>
      <c r="B163" s="4" t="s">
        <v>16</v>
      </c>
      <c r="C163" s="4">
        <v>67</v>
      </c>
      <c r="D163" s="4">
        <v>12</v>
      </c>
      <c r="E163" s="4" t="s">
        <v>22</v>
      </c>
      <c r="F163" s="4">
        <v>-0.11700000000000001</v>
      </c>
      <c r="G163" s="4">
        <v>3.1139999999999999</v>
      </c>
      <c r="H163" s="4">
        <v>82.09</v>
      </c>
      <c r="I163" s="4">
        <v>8.5000000000000006E-2</v>
      </c>
      <c r="K163" s="5" t="b">
        <f>R163&gt;(Total_pos/Total_all)</f>
        <v>0</v>
      </c>
      <c r="L163" s="5"/>
      <c r="M163" s="11">
        <f>(D163/Total_pos)*100</f>
        <v>2.510460251046025</v>
      </c>
      <c r="N163" s="11">
        <f t="shared" si="7"/>
        <v>17.910447761194028</v>
      </c>
      <c r="O163" s="11">
        <f t="shared" si="8"/>
        <v>8.4555483363370196E-2</v>
      </c>
      <c r="P163" s="5">
        <f>Total_all</f>
        <v>2244</v>
      </c>
      <c r="Q163" s="11">
        <f>Total_pos/Total_all</f>
        <v>0.21301247771836007</v>
      </c>
      <c r="R163" s="11">
        <f t="shared" si="9"/>
        <v>0.17910447761194029</v>
      </c>
      <c r="S163" s="11">
        <f t="shared" si="10"/>
        <v>16.043769196728761</v>
      </c>
    </row>
    <row r="164" spans="1:19">
      <c r="A164" s="1" t="s">
        <v>131</v>
      </c>
      <c r="B164" s="1" t="s">
        <v>14</v>
      </c>
      <c r="C164" s="1">
        <v>533</v>
      </c>
      <c r="D164" s="1">
        <v>132</v>
      </c>
      <c r="E164" s="1" t="s">
        <v>15</v>
      </c>
      <c r="F164" s="1">
        <v>0.189</v>
      </c>
      <c r="G164" s="1">
        <v>27.614999999999998</v>
      </c>
      <c r="H164" s="1">
        <v>24.765000000000001</v>
      </c>
      <c r="I164" s="1">
        <v>8.3000000000000004E-2</v>
      </c>
      <c r="K164" s="5" t="b">
        <f>R164&gt;(Total_pos/Total_all)</f>
        <v>1</v>
      </c>
      <c r="L164" s="5"/>
      <c r="M164" s="11">
        <f>(D164/Total_pos)*100</f>
        <v>27.615062761506277</v>
      </c>
      <c r="N164" s="11">
        <f t="shared" si="7"/>
        <v>24.765478424015008</v>
      </c>
      <c r="O164" s="11">
        <f t="shared" si="8"/>
        <v>8.3059747835347433E-2</v>
      </c>
      <c r="P164" s="5">
        <f>Total_all</f>
        <v>2244</v>
      </c>
      <c r="Q164" s="11">
        <f>Total_pos/Total_all</f>
        <v>0.21301247771836007</v>
      </c>
      <c r="R164" s="11">
        <f t="shared" si="9"/>
        <v>0.24765478424015008</v>
      </c>
      <c r="S164" s="11">
        <f t="shared" si="10"/>
        <v>15.481180318298053</v>
      </c>
    </row>
    <row r="165" spans="1:19">
      <c r="A165" s="2" t="s">
        <v>130</v>
      </c>
      <c r="B165" s="2" t="s">
        <v>16</v>
      </c>
      <c r="C165" s="2">
        <v>202</v>
      </c>
      <c r="D165" s="2">
        <v>50</v>
      </c>
      <c r="E165" s="2" t="s">
        <v>15</v>
      </c>
      <c r="F165" s="3">
        <v>-0.245</v>
      </c>
      <c r="G165" s="2">
        <v>10.46</v>
      </c>
      <c r="H165" s="2">
        <v>24.751999999999999</v>
      </c>
      <c r="I165" s="2">
        <v>8.3000000000000004E-2</v>
      </c>
      <c r="K165" s="5" t="b">
        <f>R165&gt;(Total_pos/Total_all)</f>
        <v>1</v>
      </c>
      <c r="L165" s="5"/>
      <c r="M165" s="11">
        <f>(D165/Total_pos)*100</f>
        <v>10.460251046025103</v>
      </c>
      <c r="N165" s="11">
        <f t="shared" si="7"/>
        <v>24.752475247524753</v>
      </c>
      <c r="O165" s="11">
        <f t="shared" si="8"/>
        <v>8.2753353275607719E-2</v>
      </c>
      <c r="P165" s="5">
        <f>Total_all</f>
        <v>2244</v>
      </c>
      <c r="Q165" s="11">
        <f>Total_pos/Total_all</f>
        <v>0.21301247771836007</v>
      </c>
      <c r="R165" s="11">
        <f t="shared" si="9"/>
        <v>0.24752475247524752</v>
      </c>
      <c r="S165" s="11">
        <f t="shared" si="10"/>
        <v>15.367175621434308</v>
      </c>
    </row>
    <row r="166" spans="1:19">
      <c r="A166" s="2" t="s">
        <v>132</v>
      </c>
      <c r="B166" s="2" t="s">
        <v>16</v>
      </c>
      <c r="C166" s="2">
        <v>226</v>
      </c>
      <c r="D166" s="2">
        <v>56</v>
      </c>
      <c r="E166" s="2" t="s">
        <v>15</v>
      </c>
      <c r="F166" s="2">
        <v>0.28199999999999997</v>
      </c>
      <c r="G166" s="2">
        <v>11.715</v>
      </c>
      <c r="H166" s="2">
        <v>24.779</v>
      </c>
      <c r="I166" s="2">
        <v>8.3000000000000004E-2</v>
      </c>
      <c r="K166" s="5" t="b">
        <f>R166&gt;(Total_pos/Total_all)</f>
        <v>1</v>
      </c>
      <c r="L166" s="5"/>
      <c r="M166" s="11">
        <f>(D166/Total_pos)*100</f>
        <v>11.715481171548117</v>
      </c>
      <c r="N166" s="11">
        <f t="shared" si="7"/>
        <v>24.778761061946902</v>
      </c>
      <c r="O166" s="11">
        <f t="shared" si="8"/>
        <v>8.3372688595706956E-2</v>
      </c>
      <c r="P166" s="5">
        <f>Total_all</f>
        <v>2244</v>
      </c>
      <c r="Q166" s="11">
        <f>Total_pos/Total_all</f>
        <v>0.21301247771836007</v>
      </c>
      <c r="R166" s="11">
        <f t="shared" si="9"/>
        <v>0.24778761061946902</v>
      </c>
      <c r="S166" s="11">
        <f t="shared" si="10"/>
        <v>15.598055677050569</v>
      </c>
    </row>
    <row r="167" spans="1:19">
      <c r="A167" s="1" t="s">
        <v>129</v>
      </c>
      <c r="B167" s="1" t="s">
        <v>14</v>
      </c>
      <c r="C167" s="1">
        <v>190</v>
      </c>
      <c r="D167" s="1">
        <v>47</v>
      </c>
      <c r="E167" s="1" t="s">
        <v>15</v>
      </c>
      <c r="F167" s="1">
        <v>0.03</v>
      </c>
      <c r="G167" s="1">
        <v>9.8330000000000002</v>
      </c>
      <c r="H167" s="1">
        <v>24.736999999999998</v>
      </c>
      <c r="I167" s="1">
        <v>8.2000000000000003E-2</v>
      </c>
      <c r="K167" s="5" t="b">
        <f>R167&gt;(Total_pos/Total_all)</f>
        <v>1</v>
      </c>
      <c r="L167" s="5"/>
      <c r="M167" s="11">
        <f>(D167/Total_pos)*100</f>
        <v>9.8326359832635983</v>
      </c>
      <c r="N167" s="11">
        <f t="shared" ref="N167" si="11">(D167/C167)*100</f>
        <v>24.736842105263158</v>
      </c>
      <c r="O167" s="11">
        <f t="shared" ref="O167" si="12">SQRT(S167/P167)</f>
        <v>8.2384938940494964E-2</v>
      </c>
      <c r="P167" s="5">
        <f>Total_all</f>
        <v>2244</v>
      </c>
      <c r="Q167" s="11">
        <f>Total_pos/Total_all</f>
        <v>0.21301247771836007</v>
      </c>
      <c r="R167" s="11">
        <f t="shared" ref="R167" si="13">D167/C167</f>
        <v>0.24736842105263157</v>
      </c>
      <c r="S167" s="11">
        <f t="shared" ref="S167" si="14">2*P167*(R167*LN(R167/Q167)+(1-R167)*LN((1-R167)/(1-Q167)))</f>
        <v>15.230652200530061</v>
      </c>
    </row>
    <row r="168" spans="1:19">
      <c r="A168" s="1" t="s">
        <v>128</v>
      </c>
      <c r="B168" s="1" t="s">
        <v>14</v>
      </c>
      <c r="C168" s="1">
        <v>984</v>
      </c>
      <c r="D168" s="1">
        <v>242</v>
      </c>
      <c r="E168" s="1" t="s">
        <v>15</v>
      </c>
      <c r="F168" s="1">
        <v>0.20200000000000001</v>
      </c>
      <c r="G168" s="1">
        <v>50.628</v>
      </c>
      <c r="H168" s="1">
        <v>24.593</v>
      </c>
      <c r="I168" s="1">
        <v>7.9000000000000001E-2</v>
      </c>
    </row>
    <row r="169" spans="1:19">
      <c r="A169" s="4" t="s">
        <v>51</v>
      </c>
      <c r="B169" s="4" t="s">
        <v>16</v>
      </c>
      <c r="C169" s="4">
        <v>386</v>
      </c>
      <c r="D169" s="4">
        <v>70</v>
      </c>
      <c r="E169" s="4" t="s">
        <v>22</v>
      </c>
      <c r="F169" s="4">
        <v>-2E-3</v>
      </c>
      <c r="G169" s="4">
        <v>17.893999999999998</v>
      </c>
      <c r="H169" s="4">
        <v>81.864999999999995</v>
      </c>
      <c r="I169" s="4">
        <v>7.9000000000000001E-2</v>
      </c>
    </row>
    <row r="170" spans="1:19">
      <c r="A170" s="1" t="s">
        <v>127</v>
      </c>
      <c r="B170" s="1" t="s">
        <v>14</v>
      </c>
      <c r="C170" s="1">
        <v>53</v>
      </c>
      <c r="D170" s="1">
        <v>13</v>
      </c>
      <c r="E170" s="1" t="s">
        <v>15</v>
      </c>
      <c r="F170" s="1">
        <v>0.377</v>
      </c>
      <c r="G170" s="1">
        <v>2.72</v>
      </c>
      <c r="H170" s="1">
        <v>24.527999999999999</v>
      </c>
      <c r="I170" s="1">
        <v>7.6999999999999999E-2</v>
      </c>
    </row>
    <row r="171" spans="1:19">
      <c r="A171" s="4" t="s">
        <v>50</v>
      </c>
      <c r="B171" s="4" t="s">
        <v>16</v>
      </c>
      <c r="C171" s="4">
        <v>361</v>
      </c>
      <c r="D171" s="4">
        <v>66</v>
      </c>
      <c r="E171" s="4" t="s">
        <v>22</v>
      </c>
      <c r="F171" s="4">
        <v>-0.122</v>
      </c>
      <c r="G171" s="4">
        <v>16.704000000000001</v>
      </c>
      <c r="H171" s="4">
        <v>81.716999999999999</v>
      </c>
      <c r="I171" s="4">
        <v>7.4999999999999997E-2</v>
      </c>
    </row>
    <row r="172" spans="1:19">
      <c r="A172" s="1" t="s">
        <v>126</v>
      </c>
      <c r="B172" s="1" t="s">
        <v>14</v>
      </c>
      <c r="C172" s="1">
        <v>239</v>
      </c>
      <c r="D172" s="1">
        <v>58</v>
      </c>
      <c r="E172" s="1" t="s">
        <v>15</v>
      </c>
      <c r="F172" s="1">
        <v>1.4999999999999999E-2</v>
      </c>
      <c r="G172" s="1">
        <v>12.134</v>
      </c>
      <c r="H172" s="1">
        <v>24.268000000000001</v>
      </c>
      <c r="I172" s="1">
        <v>7.0999999999999994E-2</v>
      </c>
    </row>
    <row r="173" spans="1:19">
      <c r="A173" s="1" t="s">
        <v>125</v>
      </c>
      <c r="B173" s="1" t="s">
        <v>14</v>
      </c>
      <c r="C173" s="1">
        <v>946</v>
      </c>
      <c r="D173" s="1">
        <v>229</v>
      </c>
      <c r="E173" s="1" t="s">
        <v>15</v>
      </c>
      <c r="F173" s="1">
        <v>0.115</v>
      </c>
      <c r="G173" s="1">
        <v>47.908000000000001</v>
      </c>
      <c r="H173" s="1">
        <v>24.207000000000001</v>
      </c>
      <c r="I173" s="1">
        <v>7.0000000000000007E-2</v>
      </c>
    </row>
    <row r="174" spans="1:19">
      <c r="A174" s="1" t="s">
        <v>124</v>
      </c>
      <c r="B174" s="1" t="s">
        <v>14</v>
      </c>
      <c r="C174" s="1">
        <v>947</v>
      </c>
      <c r="D174" s="1">
        <v>229</v>
      </c>
      <c r="E174" s="1" t="s">
        <v>15</v>
      </c>
      <c r="F174" s="1">
        <v>9.8000000000000004E-2</v>
      </c>
      <c r="G174" s="1">
        <v>47.908000000000001</v>
      </c>
      <c r="H174" s="1">
        <v>24.181999999999999</v>
      </c>
      <c r="I174" s="1">
        <v>6.9000000000000006E-2</v>
      </c>
    </row>
    <row r="175" spans="1:19">
      <c r="A175" s="1" t="s">
        <v>123</v>
      </c>
      <c r="B175" s="1" t="s">
        <v>14</v>
      </c>
      <c r="C175" s="1">
        <v>288</v>
      </c>
      <c r="D175" s="1">
        <v>69</v>
      </c>
      <c r="E175" s="1" t="s">
        <v>15</v>
      </c>
      <c r="F175" s="1">
        <v>0.114</v>
      </c>
      <c r="G175" s="1">
        <v>14.435</v>
      </c>
      <c r="H175" s="1">
        <v>23.957999999999998</v>
      </c>
      <c r="I175" s="1">
        <v>6.4000000000000001E-2</v>
      </c>
    </row>
    <row r="176" spans="1:19">
      <c r="A176" s="4" t="s">
        <v>24</v>
      </c>
      <c r="B176" s="4" t="s">
        <v>16</v>
      </c>
      <c r="C176" s="4">
        <v>404</v>
      </c>
      <c r="D176" s="4">
        <v>76</v>
      </c>
      <c r="E176" s="4" t="s">
        <v>22</v>
      </c>
      <c r="F176" s="4">
        <v>-0.04</v>
      </c>
      <c r="G176" s="4">
        <v>18.573</v>
      </c>
      <c r="H176" s="4">
        <v>81.188000000000002</v>
      </c>
      <c r="I176" s="4">
        <v>6.2E-2</v>
      </c>
    </row>
    <row r="177" spans="1:9">
      <c r="A177" s="4" t="s">
        <v>49</v>
      </c>
      <c r="B177" s="4" t="s">
        <v>16</v>
      </c>
      <c r="C177" s="4">
        <v>85</v>
      </c>
      <c r="D177" s="4">
        <v>16</v>
      </c>
      <c r="E177" s="4" t="s">
        <v>22</v>
      </c>
      <c r="F177" s="1">
        <v>3.2000000000000001E-2</v>
      </c>
      <c r="G177" s="4">
        <v>3.907</v>
      </c>
      <c r="H177" s="4">
        <v>81.176000000000002</v>
      </c>
      <c r="I177" s="4">
        <v>6.0999999999999999E-2</v>
      </c>
    </row>
    <row r="178" spans="1:9">
      <c r="A178" s="1" t="s">
        <v>122</v>
      </c>
      <c r="B178" s="1" t="s">
        <v>14</v>
      </c>
      <c r="C178" s="1">
        <v>202</v>
      </c>
      <c r="D178" s="1">
        <v>48</v>
      </c>
      <c r="E178" s="1" t="s">
        <v>15</v>
      </c>
      <c r="F178" s="1">
        <v>4.2999999999999997E-2</v>
      </c>
      <c r="G178" s="1">
        <v>10.042</v>
      </c>
      <c r="H178" s="1">
        <v>23.762</v>
      </c>
      <c r="I178" s="1">
        <v>5.8999999999999997E-2</v>
      </c>
    </row>
    <row r="179" spans="1:9">
      <c r="A179" s="2" t="s">
        <v>120</v>
      </c>
      <c r="B179" s="2" t="s">
        <v>16</v>
      </c>
      <c r="C179" s="2">
        <v>80</v>
      </c>
      <c r="D179" s="2">
        <v>19</v>
      </c>
      <c r="E179" s="2" t="s">
        <v>15</v>
      </c>
      <c r="F179" s="2">
        <v>0.309</v>
      </c>
      <c r="G179" s="2">
        <v>3.9750000000000001</v>
      </c>
      <c r="H179" s="2">
        <v>23.75</v>
      </c>
      <c r="I179" s="2">
        <v>5.8999999999999997E-2</v>
      </c>
    </row>
    <row r="180" spans="1:9">
      <c r="A180" s="1" t="s">
        <v>121</v>
      </c>
      <c r="B180" s="1" t="s">
        <v>14</v>
      </c>
      <c r="C180" s="1">
        <v>202</v>
      </c>
      <c r="D180" s="1">
        <v>48</v>
      </c>
      <c r="E180" s="1" t="s">
        <v>15</v>
      </c>
      <c r="F180" s="1">
        <v>6.0000000000000001E-3</v>
      </c>
      <c r="G180" s="1">
        <v>10.042</v>
      </c>
      <c r="H180" s="1">
        <v>23.762</v>
      </c>
      <c r="I180" s="1">
        <v>5.8999999999999997E-2</v>
      </c>
    </row>
    <row r="181" spans="1:9">
      <c r="A181" s="2" t="s">
        <v>21</v>
      </c>
      <c r="B181" s="2" t="s">
        <v>16</v>
      </c>
      <c r="C181" s="2">
        <v>347</v>
      </c>
      <c r="D181" s="2">
        <v>82</v>
      </c>
      <c r="E181" s="2" t="s">
        <v>15</v>
      </c>
      <c r="F181" s="2">
        <v>5.5E-2</v>
      </c>
      <c r="G181" s="2">
        <v>17.155000000000001</v>
      </c>
      <c r="H181" s="2">
        <v>23.631</v>
      </c>
      <c r="I181" s="2">
        <v>5.6000000000000001E-2</v>
      </c>
    </row>
    <row r="182" spans="1:9">
      <c r="A182" s="2" t="s">
        <v>119</v>
      </c>
      <c r="B182" s="2" t="s">
        <v>16</v>
      </c>
      <c r="C182" s="2">
        <v>72</v>
      </c>
      <c r="D182" s="2">
        <v>17</v>
      </c>
      <c r="E182" s="2" t="s">
        <v>15</v>
      </c>
      <c r="F182" s="2">
        <v>0.67200000000000004</v>
      </c>
      <c r="G182" s="2">
        <v>3.556</v>
      </c>
      <c r="H182" s="2">
        <v>23.611000000000001</v>
      </c>
      <c r="I182" s="2">
        <v>5.6000000000000001E-2</v>
      </c>
    </row>
    <row r="183" spans="1:9">
      <c r="A183" s="1" t="s">
        <v>118</v>
      </c>
      <c r="B183" s="1" t="s">
        <v>14</v>
      </c>
      <c r="C183" s="1">
        <v>340</v>
      </c>
      <c r="D183" s="1">
        <v>80</v>
      </c>
      <c r="E183" s="1" t="s">
        <v>15</v>
      </c>
      <c r="F183" s="1">
        <v>1.9E-2</v>
      </c>
      <c r="G183" s="1">
        <v>16.736000000000001</v>
      </c>
      <c r="H183" s="1">
        <v>23.529</v>
      </c>
      <c r="I183" s="1">
        <v>5.3999999999999999E-2</v>
      </c>
    </row>
    <row r="184" spans="1:9">
      <c r="A184" s="1" t="s">
        <v>117</v>
      </c>
      <c r="B184" s="1" t="s">
        <v>14</v>
      </c>
      <c r="C184" s="1">
        <v>783</v>
      </c>
      <c r="D184" s="1">
        <v>184</v>
      </c>
      <c r="E184" s="1" t="s">
        <v>15</v>
      </c>
      <c r="F184" s="3">
        <v>-8.1000000000000003E-2</v>
      </c>
      <c r="G184" s="1">
        <v>38.494</v>
      </c>
      <c r="H184" s="1">
        <v>23.498999999999999</v>
      </c>
      <c r="I184" s="1">
        <v>5.2999999999999999E-2</v>
      </c>
    </row>
    <row r="185" spans="1:9">
      <c r="A185" s="3" t="s">
        <v>48</v>
      </c>
      <c r="B185" s="3" t="s">
        <v>14</v>
      </c>
      <c r="C185" s="3">
        <v>402</v>
      </c>
      <c r="D185" s="3">
        <v>77</v>
      </c>
      <c r="E185" s="3" t="s">
        <v>22</v>
      </c>
      <c r="F185" s="3">
        <v>-2.5999999999999999E-2</v>
      </c>
      <c r="G185" s="3">
        <v>18.402999999999999</v>
      </c>
      <c r="H185" s="3">
        <v>80.846000000000004</v>
      </c>
      <c r="I185" s="3">
        <v>5.2999999999999999E-2</v>
      </c>
    </row>
    <row r="186" spans="1:9">
      <c r="A186" s="1" t="s">
        <v>116</v>
      </c>
      <c r="B186" s="1" t="s">
        <v>14</v>
      </c>
      <c r="C186" s="1">
        <v>594</v>
      </c>
      <c r="D186" s="1">
        <v>139</v>
      </c>
      <c r="E186" s="1" t="s">
        <v>15</v>
      </c>
      <c r="F186" s="1">
        <v>7.0000000000000007E-2</v>
      </c>
      <c r="G186" s="1">
        <v>29.079000000000001</v>
      </c>
      <c r="H186" s="1">
        <v>23.401</v>
      </c>
      <c r="I186" s="1">
        <v>5.0999999999999997E-2</v>
      </c>
    </row>
    <row r="187" spans="1:9">
      <c r="A187" s="1" t="s">
        <v>115</v>
      </c>
      <c r="B187" s="1" t="s">
        <v>14</v>
      </c>
      <c r="C187" s="1">
        <v>271</v>
      </c>
      <c r="D187" s="1">
        <v>63</v>
      </c>
      <c r="E187" s="1" t="s">
        <v>15</v>
      </c>
      <c r="F187" s="1">
        <v>2.5999999999999999E-2</v>
      </c>
      <c r="G187" s="1">
        <v>13.18</v>
      </c>
      <c r="H187" s="1">
        <v>23.247</v>
      </c>
      <c r="I187" s="1">
        <v>4.7E-2</v>
      </c>
    </row>
    <row r="188" spans="1:9">
      <c r="A188" s="3" t="s">
        <v>46</v>
      </c>
      <c r="B188" s="3" t="s">
        <v>14</v>
      </c>
      <c r="C188" s="3">
        <v>220</v>
      </c>
      <c r="D188" s="3">
        <v>43</v>
      </c>
      <c r="E188" s="3" t="s">
        <v>22</v>
      </c>
      <c r="F188" s="3">
        <v>-0.17499999999999999</v>
      </c>
      <c r="G188" s="3">
        <v>10.023</v>
      </c>
      <c r="H188" s="3">
        <v>80.454999999999998</v>
      </c>
      <c r="I188" s="3">
        <v>4.2999999999999997E-2</v>
      </c>
    </row>
    <row r="189" spans="1:9">
      <c r="A189" s="3" t="s">
        <v>47</v>
      </c>
      <c r="B189" s="3" t="s">
        <v>14</v>
      </c>
      <c r="C189" s="3">
        <v>87</v>
      </c>
      <c r="D189" s="3">
        <v>17</v>
      </c>
      <c r="E189" s="3" t="s">
        <v>22</v>
      </c>
      <c r="F189" s="3">
        <v>-4.1000000000000002E-2</v>
      </c>
      <c r="G189" s="3">
        <v>3.964</v>
      </c>
      <c r="H189" s="3">
        <v>80.459999999999994</v>
      </c>
      <c r="I189" s="3">
        <v>4.2999999999999997E-2</v>
      </c>
    </row>
    <row r="190" spans="1:9">
      <c r="A190" s="1" t="s">
        <v>114</v>
      </c>
      <c r="B190" s="1" t="s">
        <v>14</v>
      </c>
      <c r="C190" s="1">
        <v>291</v>
      </c>
      <c r="D190" s="1">
        <v>67</v>
      </c>
      <c r="E190" s="1" t="s">
        <v>15</v>
      </c>
      <c r="F190" s="1">
        <v>6.0999999999999999E-2</v>
      </c>
      <c r="G190" s="1">
        <v>14.016999999999999</v>
      </c>
      <c r="H190" s="1">
        <v>23.024000000000001</v>
      </c>
      <c r="I190" s="1">
        <v>4.2000000000000003E-2</v>
      </c>
    </row>
    <row r="191" spans="1:9">
      <c r="A191" s="1" t="s">
        <v>113</v>
      </c>
      <c r="B191" s="1" t="s">
        <v>14</v>
      </c>
      <c r="C191" s="1">
        <v>756</v>
      </c>
      <c r="D191" s="1">
        <v>174</v>
      </c>
      <c r="E191" s="1" t="s">
        <v>15</v>
      </c>
      <c r="F191" s="3">
        <v>-1.2999999999999999E-2</v>
      </c>
      <c r="G191" s="1">
        <v>36.402000000000001</v>
      </c>
      <c r="H191" s="1">
        <v>23.015999999999998</v>
      </c>
      <c r="I191" s="1">
        <v>4.1000000000000002E-2</v>
      </c>
    </row>
    <row r="192" spans="1:9">
      <c r="A192" s="3" t="s">
        <v>45</v>
      </c>
      <c r="B192" s="3" t="s">
        <v>14</v>
      </c>
      <c r="C192" s="3">
        <v>112</v>
      </c>
      <c r="D192" s="3">
        <v>22</v>
      </c>
      <c r="E192" s="3" t="s">
        <v>22</v>
      </c>
      <c r="F192" s="3">
        <v>-8.5999999999999993E-2</v>
      </c>
      <c r="G192" s="3">
        <v>5.0960000000000001</v>
      </c>
      <c r="H192" s="3">
        <v>80.356999999999999</v>
      </c>
      <c r="I192" s="3">
        <v>4.1000000000000002E-2</v>
      </c>
    </row>
    <row r="193" spans="1:9">
      <c r="A193" s="3" t="s">
        <v>44</v>
      </c>
      <c r="B193" s="3" t="s">
        <v>14</v>
      </c>
      <c r="C193" s="3">
        <v>111</v>
      </c>
      <c r="D193" s="3">
        <v>22</v>
      </c>
      <c r="E193" s="3" t="s">
        <v>22</v>
      </c>
      <c r="F193" s="3">
        <v>-0.152</v>
      </c>
      <c r="G193" s="3">
        <v>5.04</v>
      </c>
      <c r="H193" s="3">
        <v>80.180000000000007</v>
      </c>
      <c r="I193" s="3">
        <v>3.5999999999999997E-2</v>
      </c>
    </row>
    <row r="194" spans="1:9">
      <c r="A194" s="1" t="s">
        <v>112</v>
      </c>
      <c r="B194" s="1" t="s">
        <v>14</v>
      </c>
      <c r="C194" s="1">
        <v>584</v>
      </c>
      <c r="D194" s="1">
        <v>133</v>
      </c>
      <c r="E194" s="1" t="s">
        <v>15</v>
      </c>
      <c r="F194" s="4">
        <v>-5.0999999999999997E-2</v>
      </c>
      <c r="G194" s="1">
        <v>27.824000000000002</v>
      </c>
      <c r="H194" s="1">
        <v>22.774000000000001</v>
      </c>
      <c r="I194" s="1">
        <v>3.5999999999999997E-2</v>
      </c>
    </row>
    <row r="195" spans="1:9">
      <c r="A195" s="1" t="s">
        <v>111</v>
      </c>
      <c r="B195" s="1" t="s">
        <v>14</v>
      </c>
      <c r="C195" s="1">
        <v>330</v>
      </c>
      <c r="D195" s="1">
        <v>75</v>
      </c>
      <c r="E195" s="1" t="s">
        <v>15</v>
      </c>
      <c r="F195" s="1">
        <v>2.3E-2</v>
      </c>
      <c r="G195" s="1">
        <v>15.69</v>
      </c>
      <c r="H195" s="1">
        <v>22.727</v>
      </c>
      <c r="I195" s="1">
        <v>3.5000000000000003E-2</v>
      </c>
    </row>
    <row r="196" spans="1:9">
      <c r="A196" s="1" t="s">
        <v>110</v>
      </c>
      <c r="B196" s="1" t="s">
        <v>14</v>
      </c>
      <c r="C196" s="1">
        <v>581</v>
      </c>
      <c r="D196" s="1">
        <v>132</v>
      </c>
      <c r="E196" s="1" t="s">
        <v>15</v>
      </c>
      <c r="F196" s="3">
        <v>-4.7E-2</v>
      </c>
      <c r="G196" s="1">
        <v>27.614999999999998</v>
      </c>
      <c r="H196" s="1">
        <v>22.719000000000001</v>
      </c>
      <c r="I196" s="1">
        <v>3.4000000000000002E-2</v>
      </c>
    </row>
    <row r="197" spans="1:9">
      <c r="A197" s="1" t="s">
        <v>109</v>
      </c>
      <c r="B197" s="1" t="s">
        <v>14</v>
      </c>
      <c r="C197" s="1">
        <v>549</v>
      </c>
      <c r="D197" s="1">
        <v>124</v>
      </c>
      <c r="E197" s="1" t="s">
        <v>15</v>
      </c>
      <c r="F197" s="4">
        <v>-9.6000000000000002E-2</v>
      </c>
      <c r="G197" s="1">
        <v>25.940999999999999</v>
      </c>
      <c r="H197" s="1">
        <v>22.587</v>
      </c>
      <c r="I197" s="1">
        <v>3.1E-2</v>
      </c>
    </row>
    <row r="198" spans="1:9">
      <c r="A198" s="1" t="s">
        <v>108</v>
      </c>
      <c r="B198" s="1" t="s">
        <v>14</v>
      </c>
      <c r="C198" s="1">
        <v>351</v>
      </c>
      <c r="D198" s="1">
        <v>79</v>
      </c>
      <c r="E198" s="1" t="s">
        <v>15</v>
      </c>
      <c r="F198" s="3">
        <v>-5.6000000000000001E-2</v>
      </c>
      <c r="G198" s="1">
        <v>16.527000000000001</v>
      </c>
      <c r="H198" s="1">
        <v>22.507000000000001</v>
      </c>
      <c r="I198" s="1">
        <v>2.9000000000000001E-2</v>
      </c>
    </row>
    <row r="199" spans="1:9">
      <c r="A199" s="3" t="s">
        <v>43</v>
      </c>
      <c r="B199" s="3" t="s">
        <v>14</v>
      </c>
      <c r="C199" s="3">
        <v>539</v>
      </c>
      <c r="D199" s="3">
        <v>109</v>
      </c>
      <c r="E199" s="3" t="s">
        <v>22</v>
      </c>
      <c r="F199" s="3">
        <v>-0.255</v>
      </c>
      <c r="G199" s="3">
        <v>24.349</v>
      </c>
      <c r="H199" s="3">
        <v>79.777000000000001</v>
      </c>
      <c r="I199" s="3">
        <v>2.7E-2</v>
      </c>
    </row>
    <row r="200" spans="1:9">
      <c r="A200" s="1" t="s">
        <v>107</v>
      </c>
      <c r="B200" s="1" t="s">
        <v>14</v>
      </c>
      <c r="C200" s="1">
        <v>397</v>
      </c>
      <c r="D200" s="1">
        <v>89</v>
      </c>
      <c r="E200" s="1" t="s">
        <v>15</v>
      </c>
      <c r="F200" s="1">
        <v>1.2999999999999999E-2</v>
      </c>
      <c r="G200" s="1">
        <v>18.619</v>
      </c>
      <c r="H200" s="1">
        <v>22.417999999999999</v>
      </c>
      <c r="I200" s="1">
        <v>2.7E-2</v>
      </c>
    </row>
    <row r="201" spans="1:9">
      <c r="A201" s="3" t="s">
        <v>42</v>
      </c>
      <c r="B201" s="3" t="s">
        <v>14</v>
      </c>
      <c r="C201" s="3">
        <v>1752</v>
      </c>
      <c r="D201" s="3">
        <v>356</v>
      </c>
      <c r="E201" s="3" t="s">
        <v>22</v>
      </c>
      <c r="F201" s="3">
        <v>-5.0999999999999997E-2</v>
      </c>
      <c r="G201" s="3">
        <v>79.049000000000007</v>
      </c>
      <c r="H201" s="3">
        <v>79.680000000000007</v>
      </c>
      <c r="I201" s="3">
        <v>2.4E-2</v>
      </c>
    </row>
    <row r="202" spans="1:9">
      <c r="A202" s="1" t="s">
        <v>106</v>
      </c>
      <c r="B202" s="1" t="s">
        <v>14</v>
      </c>
      <c r="C202" s="1">
        <v>360</v>
      </c>
      <c r="D202" s="1">
        <v>80</v>
      </c>
      <c r="E202" s="1" t="s">
        <v>15</v>
      </c>
      <c r="F202" s="1">
        <v>-0.159</v>
      </c>
      <c r="G202" s="1">
        <v>16.736000000000001</v>
      </c>
      <c r="H202" s="1">
        <v>22.222000000000001</v>
      </c>
      <c r="I202" s="1">
        <v>2.1999999999999999E-2</v>
      </c>
    </row>
    <row r="203" spans="1:9">
      <c r="A203" s="1" t="s">
        <v>105</v>
      </c>
      <c r="B203" s="1" t="s">
        <v>14</v>
      </c>
      <c r="C203" s="1">
        <v>27</v>
      </c>
      <c r="D203" s="1">
        <v>6</v>
      </c>
      <c r="E203" s="1" t="s">
        <v>15</v>
      </c>
      <c r="F203" s="1">
        <v>1.4999999999999999E-2</v>
      </c>
      <c r="G203" s="1">
        <v>1.2549999999999999</v>
      </c>
      <c r="H203" s="1">
        <v>22.222000000000001</v>
      </c>
      <c r="I203" s="1">
        <v>2.1999999999999999E-2</v>
      </c>
    </row>
    <row r="204" spans="1:9">
      <c r="A204" s="1" t="s">
        <v>104</v>
      </c>
      <c r="B204" s="1" t="s">
        <v>14</v>
      </c>
      <c r="C204" s="1">
        <v>358</v>
      </c>
      <c r="D204" s="1">
        <v>79</v>
      </c>
      <c r="E204" s="1" t="s">
        <v>15</v>
      </c>
      <c r="F204" s="1">
        <v>0.20799999999999999</v>
      </c>
      <c r="G204" s="1">
        <v>16.527000000000001</v>
      </c>
      <c r="H204" s="1">
        <v>22.067</v>
      </c>
      <c r="I204" s="1">
        <v>1.9E-2</v>
      </c>
    </row>
    <row r="205" spans="1:9">
      <c r="A205" s="3" t="s">
        <v>41</v>
      </c>
      <c r="B205" s="3" t="s">
        <v>14</v>
      </c>
      <c r="C205" s="3">
        <v>1229</v>
      </c>
      <c r="D205" s="3">
        <v>253</v>
      </c>
      <c r="E205" s="3" t="s">
        <v>22</v>
      </c>
      <c r="F205" s="3">
        <v>-0.22800000000000001</v>
      </c>
      <c r="G205" s="3">
        <v>55.265999999999998</v>
      </c>
      <c r="H205" s="3">
        <v>79.414000000000001</v>
      </c>
      <c r="I205" s="3">
        <v>1.7999999999999999E-2</v>
      </c>
    </row>
    <row r="206" spans="1:9">
      <c r="A206" s="3" t="s">
        <v>40</v>
      </c>
      <c r="B206" s="3" t="s">
        <v>14</v>
      </c>
      <c r="C206" s="3">
        <v>1889</v>
      </c>
      <c r="D206" s="3">
        <v>389</v>
      </c>
      <c r="E206" s="3" t="s">
        <v>22</v>
      </c>
      <c r="F206" s="3">
        <v>-0.13200000000000001</v>
      </c>
      <c r="G206" s="3">
        <v>84.938000000000002</v>
      </c>
      <c r="H206" s="3">
        <v>79.406999999999996</v>
      </c>
      <c r="I206" s="3">
        <v>1.7000000000000001E-2</v>
      </c>
    </row>
    <row r="207" spans="1:9">
      <c r="A207" s="3" t="s">
        <v>39</v>
      </c>
      <c r="B207" s="3" t="s">
        <v>14</v>
      </c>
      <c r="C207" s="3">
        <v>1787</v>
      </c>
      <c r="D207" s="3">
        <v>368</v>
      </c>
      <c r="E207" s="3" t="s">
        <v>22</v>
      </c>
      <c r="F207" s="3">
        <v>-1.4E-2</v>
      </c>
      <c r="G207" s="3">
        <v>80.350999999999999</v>
      </c>
      <c r="H207" s="3">
        <v>79.406999999999996</v>
      </c>
      <c r="I207" s="3">
        <v>1.7000000000000001E-2</v>
      </c>
    </row>
    <row r="208" spans="1:9">
      <c r="A208" s="3" t="s">
        <v>38</v>
      </c>
      <c r="B208" s="3" t="s">
        <v>14</v>
      </c>
      <c r="C208" s="3">
        <v>1668</v>
      </c>
      <c r="D208" s="3">
        <v>344</v>
      </c>
      <c r="E208" s="3" t="s">
        <v>22</v>
      </c>
      <c r="F208" s="3">
        <v>-0.14099999999999999</v>
      </c>
      <c r="G208" s="3">
        <v>74.971999999999994</v>
      </c>
      <c r="H208" s="3">
        <v>79.376000000000005</v>
      </c>
      <c r="I208" s="3">
        <v>1.7000000000000001E-2</v>
      </c>
    </row>
    <row r="209" spans="1:9">
      <c r="A209" s="3" t="s">
        <v>25</v>
      </c>
      <c r="B209" s="3" t="s">
        <v>14</v>
      </c>
      <c r="C209" s="3">
        <v>2092</v>
      </c>
      <c r="D209" s="3">
        <v>432</v>
      </c>
      <c r="E209" s="3" t="s">
        <v>22</v>
      </c>
      <c r="F209" s="3">
        <v>-0.16600000000000001</v>
      </c>
      <c r="G209" s="3">
        <v>93.998000000000005</v>
      </c>
      <c r="H209" s="3">
        <v>79.349999999999994</v>
      </c>
      <c r="I209" s="3">
        <v>1.6E-2</v>
      </c>
    </row>
    <row r="210" spans="1:9">
      <c r="A210" s="4" t="s">
        <v>37</v>
      </c>
      <c r="B210" s="4" t="s">
        <v>16</v>
      </c>
      <c r="C210" s="4">
        <v>63</v>
      </c>
      <c r="D210" s="4">
        <v>13</v>
      </c>
      <c r="E210" s="4" t="s">
        <v>22</v>
      </c>
      <c r="F210" s="4">
        <v>-0.14000000000000001</v>
      </c>
      <c r="G210" s="4">
        <v>2.831</v>
      </c>
      <c r="H210" s="4">
        <v>79.364999999999995</v>
      </c>
      <c r="I210" s="4">
        <v>1.6E-2</v>
      </c>
    </row>
    <row r="211" spans="1:9">
      <c r="A211" s="1" t="s">
        <v>103</v>
      </c>
      <c r="B211" s="1" t="s">
        <v>14</v>
      </c>
      <c r="C211" s="1">
        <v>114</v>
      </c>
      <c r="D211" s="1">
        <v>25</v>
      </c>
      <c r="E211" s="1" t="s">
        <v>15</v>
      </c>
      <c r="F211" s="1">
        <v>0.28599999999999998</v>
      </c>
      <c r="G211" s="1">
        <v>5.23</v>
      </c>
      <c r="H211" s="1">
        <v>21.93</v>
      </c>
      <c r="I211" s="1">
        <v>1.4999999999999999E-2</v>
      </c>
    </row>
    <row r="212" spans="1:9">
      <c r="A212" s="2" t="s">
        <v>102</v>
      </c>
      <c r="B212" s="2" t="s">
        <v>16</v>
      </c>
      <c r="C212" s="2">
        <v>188</v>
      </c>
      <c r="D212" s="2">
        <v>41</v>
      </c>
      <c r="E212" s="2" t="s">
        <v>15</v>
      </c>
      <c r="F212" s="3">
        <v>-2.8000000000000001E-2</v>
      </c>
      <c r="G212" s="2">
        <v>8.577</v>
      </c>
      <c r="H212" s="2">
        <v>21.809000000000001</v>
      </c>
      <c r="I212" s="2">
        <v>1.2E-2</v>
      </c>
    </row>
    <row r="213" spans="1:9">
      <c r="A213" s="3" t="s">
        <v>35</v>
      </c>
      <c r="B213" s="3" t="s">
        <v>14</v>
      </c>
      <c r="C213" s="3">
        <v>1332</v>
      </c>
      <c r="D213" s="3">
        <v>278</v>
      </c>
      <c r="E213" s="3" t="s">
        <v>22</v>
      </c>
      <c r="F213" s="3">
        <v>-5.7000000000000002E-2</v>
      </c>
      <c r="G213" s="3">
        <v>59.683</v>
      </c>
      <c r="H213" s="3">
        <v>79.129000000000005</v>
      </c>
      <c r="I213" s="3">
        <v>1.0999999999999999E-2</v>
      </c>
    </row>
    <row r="214" spans="1:9">
      <c r="A214" s="4" t="s">
        <v>36</v>
      </c>
      <c r="B214" s="4" t="s">
        <v>16</v>
      </c>
      <c r="C214" s="4">
        <v>120</v>
      </c>
      <c r="D214" s="4">
        <v>25</v>
      </c>
      <c r="E214" s="4" t="s">
        <v>22</v>
      </c>
      <c r="F214" s="4">
        <v>-6.0000000000000001E-3</v>
      </c>
      <c r="G214" s="4">
        <v>5.3789999999999996</v>
      </c>
      <c r="H214" s="4">
        <v>79.167000000000002</v>
      </c>
      <c r="I214" s="4">
        <v>1.0999999999999999E-2</v>
      </c>
    </row>
    <row r="215" spans="1:9">
      <c r="A215" s="3" t="s">
        <v>33</v>
      </c>
      <c r="B215" s="3" t="s">
        <v>14</v>
      </c>
      <c r="C215" s="3">
        <v>1718</v>
      </c>
      <c r="D215" s="3">
        <v>359</v>
      </c>
      <c r="E215" s="3" t="s">
        <v>22</v>
      </c>
      <c r="F215" s="3">
        <v>-1.0999999999999999E-2</v>
      </c>
      <c r="G215" s="3">
        <v>76.953999999999994</v>
      </c>
      <c r="H215" s="3">
        <v>79.103999999999999</v>
      </c>
      <c r="I215" s="3">
        <v>0.01</v>
      </c>
    </row>
    <row r="216" spans="1:9">
      <c r="A216" s="3" t="s">
        <v>34</v>
      </c>
      <c r="B216" s="3" t="s">
        <v>14</v>
      </c>
      <c r="C216" s="3">
        <v>292</v>
      </c>
      <c r="D216" s="3">
        <v>61</v>
      </c>
      <c r="E216" s="3" t="s">
        <v>22</v>
      </c>
      <c r="F216" s="3">
        <v>-9.0999999999999998E-2</v>
      </c>
      <c r="G216" s="3">
        <v>13.08</v>
      </c>
      <c r="H216" s="3">
        <v>79.11</v>
      </c>
      <c r="I216" s="3">
        <v>0.01</v>
      </c>
    </row>
    <row r="217" spans="1:9">
      <c r="A217" s="3" t="s">
        <v>32</v>
      </c>
      <c r="B217" s="3" t="s">
        <v>14</v>
      </c>
      <c r="C217" s="3">
        <v>1608</v>
      </c>
      <c r="D217" s="3">
        <v>337</v>
      </c>
      <c r="E217" s="3" t="s">
        <v>22</v>
      </c>
      <c r="F217" s="3">
        <v>-0.04</v>
      </c>
      <c r="G217" s="3">
        <v>71.971000000000004</v>
      </c>
      <c r="H217" s="3">
        <v>79.042000000000002</v>
      </c>
      <c r="I217" s="3">
        <v>8.0000000000000002E-3</v>
      </c>
    </row>
    <row r="218" spans="1:9">
      <c r="A218" s="1" t="s">
        <v>101</v>
      </c>
      <c r="B218" s="1" t="s">
        <v>14</v>
      </c>
      <c r="C218" s="1">
        <v>185</v>
      </c>
      <c r="D218" s="1">
        <v>40</v>
      </c>
      <c r="E218" s="1" t="s">
        <v>15</v>
      </c>
      <c r="F218" s="1">
        <v>0.11600000000000001</v>
      </c>
      <c r="G218" s="1">
        <v>8.3680000000000003</v>
      </c>
      <c r="H218" s="1">
        <v>21.622</v>
      </c>
      <c r="I218" s="1">
        <v>8.0000000000000002E-3</v>
      </c>
    </row>
    <row r="219" spans="1:9">
      <c r="A219" s="3" t="s">
        <v>31</v>
      </c>
      <c r="B219" s="3" t="s">
        <v>14</v>
      </c>
      <c r="C219" s="3">
        <v>1555</v>
      </c>
      <c r="D219" s="3">
        <v>327</v>
      </c>
      <c r="E219" s="3" t="s">
        <v>22</v>
      </c>
      <c r="F219" s="3">
        <v>-5.0000000000000001E-3</v>
      </c>
      <c r="G219" s="3">
        <v>69.536000000000001</v>
      </c>
      <c r="H219" s="3">
        <v>78.971000000000004</v>
      </c>
      <c r="I219" s="3">
        <v>7.0000000000000001E-3</v>
      </c>
    </row>
    <row r="220" spans="1:9">
      <c r="A220" s="3" t="s">
        <v>30</v>
      </c>
      <c r="B220" s="3" t="s">
        <v>14</v>
      </c>
      <c r="C220" s="3">
        <v>1291</v>
      </c>
      <c r="D220" s="3">
        <v>272</v>
      </c>
      <c r="E220" s="3" t="s">
        <v>22</v>
      </c>
      <c r="F220" s="3">
        <v>-0.16400000000000001</v>
      </c>
      <c r="G220" s="3">
        <v>57.701000000000001</v>
      </c>
      <c r="H220" s="3">
        <v>78.930999999999997</v>
      </c>
      <c r="I220" s="3">
        <v>6.0000000000000001E-3</v>
      </c>
    </row>
    <row r="221" spans="1:9">
      <c r="A221" s="3" t="s">
        <v>28</v>
      </c>
      <c r="B221" s="3" t="s">
        <v>14</v>
      </c>
      <c r="C221" s="3">
        <v>989</v>
      </c>
      <c r="D221" s="3">
        <v>209</v>
      </c>
      <c r="E221" s="3" t="s">
        <v>22</v>
      </c>
      <c r="F221" s="3">
        <v>-0.13700000000000001</v>
      </c>
      <c r="G221" s="3">
        <v>44.167999999999999</v>
      </c>
      <c r="H221" s="3">
        <v>78.867999999999995</v>
      </c>
      <c r="I221" s="3">
        <v>4.0000000000000001E-3</v>
      </c>
    </row>
    <row r="222" spans="1:9">
      <c r="A222" s="3" t="s">
        <v>29</v>
      </c>
      <c r="B222" s="3" t="s">
        <v>14</v>
      </c>
      <c r="C222" s="3">
        <v>142</v>
      </c>
      <c r="D222" s="3">
        <v>30</v>
      </c>
      <c r="E222" s="3" t="s">
        <v>22</v>
      </c>
      <c r="F222" s="3">
        <v>-0.17299999999999999</v>
      </c>
      <c r="G222" s="3">
        <v>6.3419999999999996</v>
      </c>
      <c r="H222" s="3">
        <v>78.873000000000005</v>
      </c>
      <c r="I222" s="3">
        <v>4.0000000000000001E-3</v>
      </c>
    </row>
    <row r="223" spans="1:9">
      <c r="A223" s="3" t="s">
        <v>27</v>
      </c>
      <c r="B223" s="3" t="s">
        <v>14</v>
      </c>
      <c r="C223" s="3">
        <v>439</v>
      </c>
      <c r="D223" s="3">
        <v>93</v>
      </c>
      <c r="E223" s="3" t="s">
        <v>22</v>
      </c>
      <c r="F223" s="3">
        <v>-0.25900000000000001</v>
      </c>
      <c r="G223" s="3">
        <v>19.591999999999999</v>
      </c>
      <c r="H223" s="3">
        <v>78.814999999999998</v>
      </c>
      <c r="I223" s="3">
        <v>3.0000000000000001E-3</v>
      </c>
    </row>
    <row r="224" spans="1:9">
      <c r="A224" s="1" t="s">
        <v>100</v>
      </c>
      <c r="B224" s="1" t="s">
        <v>14</v>
      </c>
      <c r="C224" s="1">
        <v>56</v>
      </c>
      <c r="D224" s="1">
        <v>12</v>
      </c>
      <c r="E224" s="1" t="s">
        <v>15</v>
      </c>
      <c r="F224" s="3">
        <v>-6.0999999999999999E-2</v>
      </c>
      <c r="G224" s="1">
        <v>2.5099999999999998</v>
      </c>
      <c r="H224" s="1">
        <v>21.428999999999998</v>
      </c>
      <c r="I224" s="1">
        <v>3.0000000000000001E-3</v>
      </c>
    </row>
    <row r="225" spans="1:10">
      <c r="A225" s="1" t="s">
        <v>99</v>
      </c>
      <c r="B225" s="1" t="s">
        <v>14</v>
      </c>
      <c r="C225" s="1">
        <v>215</v>
      </c>
      <c r="D225" s="1">
        <v>46</v>
      </c>
      <c r="E225" s="1" t="s">
        <v>15</v>
      </c>
      <c r="F225" s="1">
        <v>0.32800000000000001</v>
      </c>
      <c r="G225" s="1">
        <v>9.6229999999999993</v>
      </c>
      <c r="H225" s="1">
        <v>21.395</v>
      </c>
      <c r="I225" s="1">
        <v>2E-3</v>
      </c>
    </row>
    <row r="226" spans="1:10">
      <c r="A226" s="1" t="s">
        <v>98</v>
      </c>
      <c r="B226" s="1" t="s">
        <v>14</v>
      </c>
      <c r="C226" s="1">
        <v>1048</v>
      </c>
      <c r="D226" s="1">
        <v>224</v>
      </c>
      <c r="E226" s="1" t="s">
        <v>15</v>
      </c>
      <c r="F226" s="4">
        <v>-6.0999999999999999E-2</v>
      </c>
      <c r="G226" s="1">
        <v>46.862000000000002</v>
      </c>
      <c r="H226" s="1">
        <v>21.373999999999999</v>
      </c>
      <c r="I226" s="1">
        <v>2E-3</v>
      </c>
    </row>
    <row r="227" spans="1:10">
      <c r="A227" s="3" t="s">
        <v>26</v>
      </c>
      <c r="B227" s="3" t="s">
        <v>14</v>
      </c>
      <c r="C227" s="3">
        <v>193</v>
      </c>
      <c r="D227" s="3">
        <v>41</v>
      </c>
      <c r="E227" s="3" t="s">
        <v>22</v>
      </c>
      <c r="F227" s="3">
        <v>-1.2E-2</v>
      </c>
      <c r="G227" s="3">
        <v>8.6069999999999993</v>
      </c>
      <c r="H227" s="3">
        <v>78.756</v>
      </c>
      <c r="I227" s="3">
        <v>1E-3</v>
      </c>
    </row>
    <row r="240" spans="1:10">
      <c r="J240" t="s">
        <v>1797</v>
      </c>
    </row>
  </sheetData>
  <autoFilter ref="A8:I227" xr:uid="{D9382AB4-2229-1C4C-97DE-CAD4E393CAE6}">
    <sortState xmlns:xlrd2="http://schemas.microsoft.com/office/spreadsheetml/2017/richdata2" ref="A9:I227">
      <sortCondition descending="1" ref="I8:I227"/>
    </sortState>
  </autoFilter>
  <mergeCells count="1">
    <mergeCell ref="A1:I2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623CF-7F18-624D-9F6E-9784C4CBEEC6}">
  <dimension ref="A1:N263"/>
  <sheetViews>
    <sheetView workbookViewId="0">
      <selection activeCell="L16" sqref="L16"/>
    </sheetView>
  </sheetViews>
  <sheetFormatPr baseColWidth="10" defaultRowHeight="16"/>
  <cols>
    <col min="1" max="1" width="86.83203125" customWidth="1"/>
    <col min="11" max="11" width="18" customWidth="1"/>
    <col min="12" max="12" width="20.5" customWidth="1"/>
  </cols>
  <sheetData>
    <row r="1" spans="1:14">
      <c r="A1" s="12" t="s">
        <v>1785</v>
      </c>
      <c r="B1" s="13"/>
      <c r="C1" s="13"/>
      <c r="D1" s="13"/>
      <c r="E1" s="13"/>
      <c r="F1" s="13"/>
      <c r="G1" s="13"/>
      <c r="H1" s="13"/>
      <c r="I1" s="13"/>
    </row>
    <row r="2" spans="1:14">
      <c r="A2" s="13"/>
      <c r="B2" s="13"/>
      <c r="C2" s="13"/>
      <c r="D2" s="13"/>
      <c r="E2" s="13"/>
      <c r="F2" s="13"/>
      <c r="G2" s="13"/>
      <c r="H2" s="13"/>
      <c r="I2" s="13"/>
    </row>
    <row r="3" spans="1:14">
      <c r="A3" t="s">
        <v>0</v>
      </c>
      <c r="B3" t="s">
        <v>245</v>
      </c>
    </row>
    <row r="4" spans="1:14">
      <c r="A4" t="s">
        <v>2</v>
      </c>
      <c r="B4" t="s">
        <v>3</v>
      </c>
    </row>
    <row r="5" spans="1:14">
      <c r="A5" t="s">
        <v>4</v>
      </c>
      <c r="B5">
        <v>2056</v>
      </c>
      <c r="D5" s="5" t="s">
        <v>232</v>
      </c>
      <c r="E5" s="5" t="s">
        <v>233</v>
      </c>
      <c r="F5" s="5" t="s">
        <v>234</v>
      </c>
      <c r="G5" s="5" t="s">
        <v>235</v>
      </c>
      <c r="H5" s="5" t="s">
        <v>236</v>
      </c>
    </row>
    <row r="6" spans="1:14">
      <c r="A6" t="s">
        <v>5</v>
      </c>
      <c r="B6">
        <v>443</v>
      </c>
      <c r="D6" s="5">
        <v>190</v>
      </c>
      <c r="E6" s="5">
        <v>52</v>
      </c>
      <c r="F6" s="5">
        <v>20</v>
      </c>
      <c r="G6" s="5">
        <v>102</v>
      </c>
      <c r="H6" s="5">
        <v>79</v>
      </c>
    </row>
    <row r="8" spans="1:14">
      <c r="A8" t="s">
        <v>6</v>
      </c>
      <c r="B8" t="s">
        <v>7</v>
      </c>
      <c r="C8" t="s">
        <v>8</v>
      </c>
      <c r="D8" t="s">
        <v>9</v>
      </c>
      <c r="E8" t="s">
        <v>10</v>
      </c>
      <c r="F8" t="s">
        <v>11</v>
      </c>
      <c r="G8" t="s">
        <v>12</v>
      </c>
      <c r="H8" t="s">
        <v>13</v>
      </c>
      <c r="I8" t="s">
        <v>237</v>
      </c>
    </row>
    <row r="9" spans="1:14" ht="17">
      <c r="A9" s="1" t="s">
        <v>486</v>
      </c>
      <c r="B9" s="1" t="s">
        <v>14</v>
      </c>
      <c r="C9" s="1">
        <v>25</v>
      </c>
      <c r="D9" s="1">
        <v>24</v>
      </c>
      <c r="E9" s="1" t="s">
        <v>15</v>
      </c>
      <c r="F9" s="1">
        <v>6.7000000000000004E-2</v>
      </c>
      <c r="G9" s="1">
        <v>5.4180000000000001</v>
      </c>
      <c r="H9" s="1">
        <v>96</v>
      </c>
      <c r="I9" s="1">
        <v>1.6220000000000001</v>
      </c>
      <c r="K9" s="8" t="s">
        <v>1804</v>
      </c>
      <c r="L9" s="8" t="s">
        <v>1805</v>
      </c>
      <c r="M9" s="8" t="s">
        <v>8</v>
      </c>
      <c r="N9" s="8" t="s">
        <v>9</v>
      </c>
    </row>
    <row r="10" spans="1:14" ht="17">
      <c r="A10" s="1" t="s">
        <v>485</v>
      </c>
      <c r="B10" s="1" t="s">
        <v>16</v>
      </c>
      <c r="C10" s="1">
        <v>88</v>
      </c>
      <c r="D10" s="1">
        <v>82</v>
      </c>
      <c r="E10" s="1" t="s">
        <v>15</v>
      </c>
      <c r="F10" s="1">
        <v>5.6000000000000001E-2</v>
      </c>
      <c r="G10" s="1">
        <v>18.510000000000002</v>
      </c>
      <c r="H10" s="1">
        <v>93.182000000000002</v>
      </c>
      <c r="I10" s="1">
        <v>1.548</v>
      </c>
      <c r="K10" s="9" t="s">
        <v>1806</v>
      </c>
      <c r="L10" s="9" t="s">
        <v>1807</v>
      </c>
      <c r="M10" s="9">
        <v>128</v>
      </c>
      <c r="N10" s="9">
        <v>41</v>
      </c>
    </row>
    <row r="11" spans="1:14" ht="17">
      <c r="A11" s="1" t="s">
        <v>484</v>
      </c>
      <c r="B11" s="1" t="s">
        <v>14</v>
      </c>
      <c r="C11" s="1">
        <v>33</v>
      </c>
      <c r="D11" s="1">
        <v>29</v>
      </c>
      <c r="E11" s="1" t="s">
        <v>15</v>
      </c>
      <c r="F11" s="1">
        <v>0.54700000000000004</v>
      </c>
      <c r="G11" s="1">
        <v>6.5460000000000003</v>
      </c>
      <c r="H11" s="1">
        <v>87.879000000000005</v>
      </c>
      <c r="I11" s="1">
        <v>1.421</v>
      </c>
      <c r="K11" s="9" t="s">
        <v>1808</v>
      </c>
      <c r="L11" s="9" t="s">
        <v>1809</v>
      </c>
      <c r="M11" s="9">
        <v>248</v>
      </c>
      <c r="N11" s="9">
        <v>205</v>
      </c>
    </row>
    <row r="12" spans="1:14">
      <c r="A12" s="1" t="s">
        <v>481</v>
      </c>
      <c r="B12" s="1" t="s">
        <v>14</v>
      </c>
      <c r="C12" s="1">
        <v>16</v>
      </c>
      <c r="D12" s="1">
        <v>14</v>
      </c>
      <c r="E12" s="1" t="s">
        <v>15</v>
      </c>
      <c r="F12" s="1">
        <v>3.3000000000000002E-2</v>
      </c>
      <c r="G12" s="1">
        <v>3.16</v>
      </c>
      <c r="H12" s="1">
        <v>87.5</v>
      </c>
      <c r="I12" s="1">
        <v>1.4119999999999999</v>
      </c>
    </row>
    <row r="13" spans="1:14">
      <c r="A13" s="1" t="s">
        <v>482</v>
      </c>
      <c r="B13" s="1" t="s">
        <v>14</v>
      </c>
      <c r="C13" s="1">
        <v>16</v>
      </c>
      <c r="D13" s="1">
        <v>14</v>
      </c>
      <c r="E13" s="1" t="s">
        <v>15</v>
      </c>
      <c r="F13" s="1">
        <v>0.26500000000000001</v>
      </c>
      <c r="G13" s="1">
        <v>3.16</v>
      </c>
      <c r="H13" s="1">
        <v>87.5</v>
      </c>
      <c r="I13" s="1">
        <v>1.4119999999999999</v>
      </c>
    </row>
    <row r="14" spans="1:14">
      <c r="A14" s="1" t="s">
        <v>477</v>
      </c>
      <c r="B14" s="1" t="s">
        <v>14</v>
      </c>
      <c r="C14" s="1">
        <v>23</v>
      </c>
      <c r="D14" s="1">
        <v>20</v>
      </c>
      <c r="E14" s="1" t="s">
        <v>15</v>
      </c>
      <c r="F14" s="1">
        <v>2.5999999999999999E-2</v>
      </c>
      <c r="G14" s="1">
        <v>4.5149999999999997</v>
      </c>
      <c r="H14" s="1">
        <v>86.956999999999994</v>
      </c>
      <c r="I14" s="1">
        <v>1.399</v>
      </c>
    </row>
    <row r="15" spans="1:14">
      <c r="A15" s="1" t="s">
        <v>476</v>
      </c>
      <c r="B15" s="1" t="s">
        <v>16</v>
      </c>
      <c r="C15" s="1">
        <v>149</v>
      </c>
      <c r="D15" s="1">
        <v>128</v>
      </c>
      <c r="E15" s="1" t="s">
        <v>15</v>
      </c>
      <c r="F15" s="1">
        <v>0.13600000000000001</v>
      </c>
      <c r="G15" s="1">
        <v>28.893999999999998</v>
      </c>
      <c r="H15" s="1">
        <v>85.906000000000006</v>
      </c>
      <c r="I15" s="1">
        <v>1.3759999999999999</v>
      </c>
    </row>
    <row r="16" spans="1:14">
      <c r="A16" s="1" t="s">
        <v>475</v>
      </c>
      <c r="B16" s="1" t="s">
        <v>16</v>
      </c>
      <c r="C16" s="1">
        <v>178</v>
      </c>
      <c r="D16" s="1">
        <v>152</v>
      </c>
      <c r="E16" s="1" t="s">
        <v>15</v>
      </c>
      <c r="F16" s="1">
        <v>8.9999999999999993E-3</v>
      </c>
      <c r="G16" s="1">
        <v>34.311999999999998</v>
      </c>
      <c r="H16" s="1">
        <v>85.393000000000001</v>
      </c>
      <c r="I16" s="1">
        <v>1.3640000000000001</v>
      </c>
    </row>
    <row r="17" spans="1:9">
      <c r="A17" s="1" t="s">
        <v>469</v>
      </c>
      <c r="B17" s="1" t="s">
        <v>14</v>
      </c>
      <c r="C17" s="1">
        <v>41</v>
      </c>
      <c r="D17" s="1">
        <v>35</v>
      </c>
      <c r="E17" s="1" t="s">
        <v>15</v>
      </c>
      <c r="F17" s="1">
        <v>4.1000000000000002E-2</v>
      </c>
      <c r="G17" s="1">
        <v>7.9009999999999998</v>
      </c>
      <c r="H17" s="1">
        <v>85.366</v>
      </c>
      <c r="I17" s="1">
        <v>1.363</v>
      </c>
    </row>
    <row r="18" spans="1:9">
      <c r="A18" s="1" t="s">
        <v>472</v>
      </c>
      <c r="B18" s="1" t="s">
        <v>14</v>
      </c>
      <c r="C18" s="1">
        <v>41</v>
      </c>
      <c r="D18" s="1">
        <v>35</v>
      </c>
      <c r="E18" s="1" t="s">
        <v>15</v>
      </c>
      <c r="F18" s="1">
        <v>0.57899999999999996</v>
      </c>
      <c r="G18" s="1">
        <v>7.9009999999999998</v>
      </c>
      <c r="H18" s="1">
        <v>85.366</v>
      </c>
      <c r="I18" s="1">
        <v>1.363</v>
      </c>
    </row>
    <row r="19" spans="1:9">
      <c r="A19" s="1" t="s">
        <v>268</v>
      </c>
      <c r="B19" s="1" t="s">
        <v>14</v>
      </c>
      <c r="C19" s="1">
        <v>59</v>
      </c>
      <c r="D19" s="1">
        <v>50</v>
      </c>
      <c r="E19" s="1" t="s">
        <v>15</v>
      </c>
      <c r="F19" s="1">
        <v>4.0000000000000001E-3</v>
      </c>
      <c r="G19" s="1">
        <v>11.287000000000001</v>
      </c>
      <c r="H19" s="1">
        <v>84.745999999999995</v>
      </c>
      <c r="I19" s="1">
        <v>1.35</v>
      </c>
    </row>
    <row r="20" spans="1:9">
      <c r="A20" s="1" t="s">
        <v>228</v>
      </c>
      <c r="B20" s="1" t="s">
        <v>16</v>
      </c>
      <c r="C20" s="1">
        <v>208</v>
      </c>
      <c r="D20" s="1">
        <v>175</v>
      </c>
      <c r="E20" s="1" t="s">
        <v>15</v>
      </c>
      <c r="F20" s="1">
        <v>5.7000000000000002E-2</v>
      </c>
      <c r="G20" s="1">
        <v>39.503</v>
      </c>
      <c r="H20" s="1">
        <v>84.135000000000005</v>
      </c>
      <c r="I20" s="1">
        <v>1.3360000000000001</v>
      </c>
    </row>
    <row r="21" spans="1:9">
      <c r="A21" s="1" t="s">
        <v>465</v>
      </c>
      <c r="B21" s="1" t="s">
        <v>16</v>
      </c>
      <c r="C21" s="1">
        <v>208</v>
      </c>
      <c r="D21" s="1">
        <v>175</v>
      </c>
      <c r="E21" s="1" t="s">
        <v>15</v>
      </c>
      <c r="F21" s="1">
        <v>0.126</v>
      </c>
      <c r="G21" s="1">
        <v>39.503</v>
      </c>
      <c r="H21" s="1">
        <v>84.135000000000005</v>
      </c>
      <c r="I21" s="1">
        <v>1.3360000000000001</v>
      </c>
    </row>
    <row r="22" spans="1:9">
      <c r="A22" s="1" t="s">
        <v>460</v>
      </c>
      <c r="B22" s="1" t="s">
        <v>16</v>
      </c>
      <c r="C22" s="1">
        <v>136</v>
      </c>
      <c r="D22" s="1">
        <v>114</v>
      </c>
      <c r="E22" s="1" t="s">
        <v>15</v>
      </c>
      <c r="F22" s="1">
        <v>3.5000000000000003E-2</v>
      </c>
      <c r="G22" s="1">
        <v>25.734000000000002</v>
      </c>
      <c r="H22" s="1">
        <v>83.823999999999998</v>
      </c>
      <c r="I22" s="1">
        <v>1.329</v>
      </c>
    </row>
    <row r="23" spans="1:9">
      <c r="A23" s="1" t="s">
        <v>227</v>
      </c>
      <c r="B23" s="1" t="s">
        <v>16</v>
      </c>
      <c r="C23" s="1">
        <v>79</v>
      </c>
      <c r="D23" s="1">
        <v>63</v>
      </c>
      <c r="E23" s="1" t="s">
        <v>15</v>
      </c>
      <c r="F23" s="1">
        <v>0.14000000000000001</v>
      </c>
      <c r="G23" s="1">
        <v>14.221</v>
      </c>
      <c r="H23" s="1">
        <v>79.747</v>
      </c>
      <c r="I23" s="1">
        <v>1.24</v>
      </c>
    </row>
    <row r="24" spans="1:9">
      <c r="A24" s="1" t="s">
        <v>456</v>
      </c>
      <c r="B24" s="1" t="s">
        <v>14</v>
      </c>
      <c r="C24" s="1">
        <v>64</v>
      </c>
      <c r="D24" s="1">
        <v>51</v>
      </c>
      <c r="E24" s="1" t="s">
        <v>15</v>
      </c>
      <c r="F24" s="1">
        <v>0.08</v>
      </c>
      <c r="G24" s="1">
        <v>11.512</v>
      </c>
      <c r="H24" s="1">
        <v>79.688000000000002</v>
      </c>
      <c r="I24" s="1">
        <v>1.2390000000000001</v>
      </c>
    </row>
    <row r="25" spans="1:9">
      <c r="A25" s="1" t="s">
        <v>454</v>
      </c>
      <c r="B25" s="1" t="s">
        <v>14</v>
      </c>
      <c r="C25" s="1">
        <v>53</v>
      </c>
      <c r="D25" s="1">
        <v>42</v>
      </c>
      <c r="E25" s="1" t="s">
        <v>15</v>
      </c>
      <c r="F25" s="1">
        <v>5.2999999999999999E-2</v>
      </c>
      <c r="G25" s="1">
        <v>9.4809999999999999</v>
      </c>
      <c r="H25" s="1">
        <v>79.245000000000005</v>
      </c>
      <c r="I25" s="1">
        <v>1.23</v>
      </c>
    </row>
    <row r="26" spans="1:9">
      <c r="A26" s="1" t="s">
        <v>453</v>
      </c>
      <c r="B26" s="1" t="s">
        <v>14</v>
      </c>
      <c r="C26" s="1">
        <v>96</v>
      </c>
      <c r="D26" s="1">
        <v>76</v>
      </c>
      <c r="E26" s="1" t="s">
        <v>15</v>
      </c>
      <c r="F26" s="1">
        <v>4.0000000000000001E-3</v>
      </c>
      <c r="G26" s="1">
        <v>17.155999999999999</v>
      </c>
      <c r="H26" s="1">
        <v>79.167000000000002</v>
      </c>
      <c r="I26" s="1">
        <v>1.228</v>
      </c>
    </row>
    <row r="27" spans="1:9">
      <c r="A27" s="1" t="s">
        <v>452</v>
      </c>
      <c r="B27" s="1" t="s">
        <v>14</v>
      </c>
      <c r="C27" s="1">
        <v>152</v>
      </c>
      <c r="D27" s="1">
        <v>120</v>
      </c>
      <c r="E27" s="1" t="s">
        <v>15</v>
      </c>
      <c r="F27" s="1">
        <v>3.4000000000000002E-2</v>
      </c>
      <c r="G27" s="1">
        <v>27.088000000000001</v>
      </c>
      <c r="H27" s="1">
        <v>78.947000000000003</v>
      </c>
      <c r="I27" s="1">
        <v>1.2230000000000001</v>
      </c>
    </row>
    <row r="28" spans="1:9">
      <c r="A28" s="1" t="s">
        <v>223</v>
      </c>
      <c r="B28" s="1" t="s">
        <v>14</v>
      </c>
      <c r="C28" s="1">
        <v>157</v>
      </c>
      <c r="D28" s="1">
        <v>121</v>
      </c>
      <c r="E28" s="1" t="s">
        <v>15</v>
      </c>
      <c r="F28" s="1">
        <v>5.7000000000000002E-2</v>
      </c>
      <c r="G28" s="1">
        <v>27.314</v>
      </c>
      <c r="H28" s="1">
        <v>77.069999999999993</v>
      </c>
      <c r="I28" s="1">
        <v>1.1830000000000001</v>
      </c>
    </row>
    <row r="29" spans="1:9">
      <c r="A29" s="1" t="s">
        <v>222</v>
      </c>
      <c r="B29" s="1" t="s">
        <v>14</v>
      </c>
      <c r="C29" s="1">
        <v>74</v>
      </c>
      <c r="D29" s="1">
        <v>57</v>
      </c>
      <c r="E29" s="1" t="s">
        <v>15</v>
      </c>
      <c r="F29" s="1">
        <v>2.5999999999999999E-2</v>
      </c>
      <c r="G29" s="1">
        <v>12.867000000000001</v>
      </c>
      <c r="H29" s="1">
        <v>77.027000000000001</v>
      </c>
      <c r="I29" s="1">
        <v>1.1819999999999999</v>
      </c>
    </row>
    <row r="30" spans="1:9">
      <c r="A30" s="1" t="s">
        <v>446</v>
      </c>
      <c r="B30" s="1" t="s">
        <v>14</v>
      </c>
      <c r="C30" s="1">
        <v>237</v>
      </c>
      <c r="D30" s="1">
        <v>182</v>
      </c>
      <c r="E30" s="1" t="s">
        <v>15</v>
      </c>
      <c r="F30" s="1">
        <v>1.9E-2</v>
      </c>
      <c r="G30" s="1">
        <v>41.084000000000003</v>
      </c>
      <c r="H30" s="1">
        <v>76.793000000000006</v>
      </c>
      <c r="I30" s="1">
        <v>1.1779999999999999</v>
      </c>
    </row>
    <row r="31" spans="1:9">
      <c r="A31" s="1" t="s">
        <v>443</v>
      </c>
      <c r="B31" s="1" t="s">
        <v>16</v>
      </c>
      <c r="C31" s="1">
        <v>17</v>
      </c>
      <c r="D31" s="1">
        <v>13</v>
      </c>
      <c r="E31" s="1" t="s">
        <v>15</v>
      </c>
      <c r="F31" s="1">
        <v>0.1</v>
      </c>
      <c r="G31" s="1">
        <v>2.9350000000000001</v>
      </c>
      <c r="H31" s="1">
        <v>76.471000000000004</v>
      </c>
      <c r="I31" s="1">
        <v>1.171</v>
      </c>
    </row>
    <row r="32" spans="1:9">
      <c r="A32" s="1" t="s">
        <v>442</v>
      </c>
      <c r="B32" s="1" t="s">
        <v>14</v>
      </c>
      <c r="C32" s="1">
        <v>174</v>
      </c>
      <c r="D32" s="1">
        <v>133</v>
      </c>
      <c r="E32" s="1" t="s">
        <v>15</v>
      </c>
      <c r="F32" s="1">
        <v>2.9000000000000001E-2</v>
      </c>
      <c r="G32" s="1">
        <v>30.023</v>
      </c>
      <c r="H32" s="1">
        <v>76.436999999999998</v>
      </c>
      <c r="I32" s="1">
        <v>1.17</v>
      </c>
    </row>
    <row r="33" spans="1:9">
      <c r="A33" s="1" t="s">
        <v>265</v>
      </c>
      <c r="B33" s="1" t="s">
        <v>14</v>
      </c>
      <c r="C33" s="1">
        <v>270</v>
      </c>
      <c r="D33" s="1">
        <v>200</v>
      </c>
      <c r="E33" s="1" t="s">
        <v>15</v>
      </c>
      <c r="F33" s="1">
        <v>0</v>
      </c>
      <c r="G33" s="1">
        <v>45.146999999999998</v>
      </c>
      <c r="H33" s="1">
        <v>74.073999999999998</v>
      </c>
      <c r="I33" s="1">
        <v>1.1200000000000001</v>
      </c>
    </row>
    <row r="34" spans="1:9">
      <c r="A34" s="1" t="s">
        <v>266</v>
      </c>
      <c r="B34" s="1" t="s">
        <v>14</v>
      </c>
      <c r="C34" s="1">
        <v>270</v>
      </c>
      <c r="D34" s="1">
        <v>200</v>
      </c>
      <c r="E34" s="1" t="s">
        <v>15</v>
      </c>
      <c r="F34" s="1">
        <v>2.9000000000000001E-2</v>
      </c>
      <c r="G34" s="1">
        <v>45.146999999999998</v>
      </c>
      <c r="H34" s="1">
        <v>74.073999999999998</v>
      </c>
      <c r="I34" s="1">
        <v>1.1200000000000001</v>
      </c>
    </row>
    <row r="35" spans="1:9">
      <c r="A35" s="1" t="s">
        <v>440</v>
      </c>
      <c r="B35" s="1" t="s">
        <v>14</v>
      </c>
      <c r="C35" s="1">
        <v>294</v>
      </c>
      <c r="D35" s="1">
        <v>217</v>
      </c>
      <c r="E35" s="1" t="s">
        <v>15</v>
      </c>
      <c r="F35" s="1">
        <v>2.1999999999999999E-2</v>
      </c>
      <c r="G35" s="1">
        <v>48.984000000000002</v>
      </c>
      <c r="H35" s="1">
        <v>73.81</v>
      </c>
      <c r="I35" s="1">
        <v>1.115</v>
      </c>
    </row>
    <row r="36" spans="1:9">
      <c r="A36" s="1" t="s">
        <v>435</v>
      </c>
      <c r="B36" s="1" t="s">
        <v>14</v>
      </c>
      <c r="C36" s="1">
        <v>87</v>
      </c>
      <c r="D36" s="1">
        <v>64</v>
      </c>
      <c r="E36" s="1" t="s">
        <v>15</v>
      </c>
      <c r="F36" s="1">
        <v>0.02</v>
      </c>
      <c r="G36" s="1">
        <v>14.446999999999999</v>
      </c>
      <c r="H36" s="1">
        <v>73.563000000000002</v>
      </c>
      <c r="I36" s="1">
        <v>1.1100000000000001</v>
      </c>
    </row>
    <row r="37" spans="1:9">
      <c r="A37" s="1" t="s">
        <v>215</v>
      </c>
      <c r="B37" s="1" t="s">
        <v>14</v>
      </c>
      <c r="C37" s="1">
        <v>295</v>
      </c>
      <c r="D37" s="1">
        <v>217</v>
      </c>
      <c r="E37" s="1" t="s">
        <v>15</v>
      </c>
      <c r="F37" s="1">
        <v>8.5000000000000006E-2</v>
      </c>
      <c r="G37" s="1">
        <v>48.984000000000002</v>
      </c>
      <c r="H37" s="1">
        <v>73.558999999999997</v>
      </c>
      <c r="I37" s="1">
        <v>1.1100000000000001</v>
      </c>
    </row>
    <row r="38" spans="1:9">
      <c r="A38" s="1" t="s">
        <v>434</v>
      </c>
      <c r="B38" s="1" t="s">
        <v>14</v>
      </c>
      <c r="C38" s="1">
        <v>153</v>
      </c>
      <c r="D38" s="1">
        <v>112</v>
      </c>
      <c r="E38" s="1" t="s">
        <v>15</v>
      </c>
      <c r="F38" s="1">
        <v>6.2E-2</v>
      </c>
      <c r="G38" s="1">
        <v>25.282</v>
      </c>
      <c r="H38" s="1">
        <v>73.203000000000003</v>
      </c>
      <c r="I38" s="1">
        <v>1.1020000000000001</v>
      </c>
    </row>
    <row r="39" spans="1:9">
      <c r="A39" s="1" t="s">
        <v>433</v>
      </c>
      <c r="B39" s="1" t="s">
        <v>14</v>
      </c>
      <c r="C39" s="1">
        <v>236</v>
      </c>
      <c r="D39" s="1">
        <v>171</v>
      </c>
      <c r="E39" s="1" t="s">
        <v>15</v>
      </c>
      <c r="F39" s="1">
        <v>0.23899999999999999</v>
      </c>
      <c r="G39" s="1">
        <v>38.6</v>
      </c>
      <c r="H39" s="1">
        <v>72.457999999999998</v>
      </c>
      <c r="I39" s="1">
        <v>1.087</v>
      </c>
    </row>
    <row r="40" spans="1:9">
      <c r="A40" s="1" t="s">
        <v>430</v>
      </c>
      <c r="B40" s="1" t="s">
        <v>14</v>
      </c>
      <c r="C40" s="1">
        <v>426</v>
      </c>
      <c r="D40" s="1">
        <v>305</v>
      </c>
      <c r="E40" s="1" t="s">
        <v>15</v>
      </c>
      <c r="F40" s="1">
        <v>2.7E-2</v>
      </c>
      <c r="G40" s="1">
        <v>68.849000000000004</v>
      </c>
      <c r="H40" s="1">
        <v>71.596000000000004</v>
      </c>
      <c r="I40" s="1">
        <v>1.069</v>
      </c>
    </row>
    <row r="41" spans="1:9">
      <c r="A41" s="1" t="s">
        <v>423</v>
      </c>
      <c r="B41" s="1" t="s">
        <v>14</v>
      </c>
      <c r="C41" s="1">
        <v>427</v>
      </c>
      <c r="D41" s="1">
        <v>305</v>
      </c>
      <c r="E41" s="1" t="s">
        <v>15</v>
      </c>
      <c r="F41" s="1">
        <v>5.0000000000000001E-3</v>
      </c>
      <c r="G41" s="1">
        <v>68.849000000000004</v>
      </c>
      <c r="H41" s="1">
        <v>71.429000000000002</v>
      </c>
      <c r="I41" s="1">
        <v>1.0649999999999999</v>
      </c>
    </row>
    <row r="42" spans="1:9">
      <c r="A42" s="1" t="s">
        <v>425</v>
      </c>
      <c r="B42" s="1" t="s">
        <v>16</v>
      </c>
      <c r="C42" s="1">
        <v>84</v>
      </c>
      <c r="D42" s="1">
        <v>60</v>
      </c>
      <c r="E42" s="1" t="s">
        <v>15</v>
      </c>
      <c r="F42" s="1">
        <v>9.4E-2</v>
      </c>
      <c r="G42" s="1">
        <v>13.544</v>
      </c>
      <c r="H42" s="1">
        <v>71.429000000000002</v>
      </c>
      <c r="I42" s="1">
        <v>1.0649999999999999</v>
      </c>
    </row>
    <row r="43" spans="1:9">
      <c r="A43" s="1" t="s">
        <v>422</v>
      </c>
      <c r="B43" s="1" t="s">
        <v>14</v>
      </c>
      <c r="C43" s="1">
        <v>352</v>
      </c>
      <c r="D43" s="1">
        <v>251</v>
      </c>
      <c r="E43" s="1" t="s">
        <v>15</v>
      </c>
      <c r="F43" s="1">
        <v>2.8000000000000001E-2</v>
      </c>
      <c r="G43" s="1">
        <v>56.658999999999999</v>
      </c>
      <c r="H43" s="1">
        <v>71.307000000000002</v>
      </c>
      <c r="I43" s="1">
        <v>1.0629999999999999</v>
      </c>
    </row>
    <row r="44" spans="1:9">
      <c r="A44" s="1" t="s">
        <v>420</v>
      </c>
      <c r="B44" s="1" t="s">
        <v>14</v>
      </c>
      <c r="C44" s="1">
        <v>291</v>
      </c>
      <c r="D44" s="1">
        <v>205</v>
      </c>
      <c r="E44" s="1" t="s">
        <v>15</v>
      </c>
      <c r="F44" s="1">
        <v>1.2999999999999999E-2</v>
      </c>
      <c r="G44" s="1">
        <v>46.274999999999999</v>
      </c>
      <c r="H44" s="1">
        <v>70.447000000000003</v>
      </c>
      <c r="I44" s="1">
        <v>1.0449999999999999</v>
      </c>
    </row>
    <row r="45" spans="1:9">
      <c r="A45" s="1" t="s">
        <v>421</v>
      </c>
      <c r="B45" s="1" t="s">
        <v>14</v>
      </c>
      <c r="C45" s="1">
        <v>274</v>
      </c>
      <c r="D45" s="1">
        <v>193</v>
      </c>
      <c r="E45" s="1" t="s">
        <v>15</v>
      </c>
      <c r="F45" s="1">
        <v>0</v>
      </c>
      <c r="G45" s="1">
        <v>43.567</v>
      </c>
      <c r="H45" s="1">
        <v>70.438000000000002</v>
      </c>
      <c r="I45" s="1">
        <v>1.0449999999999999</v>
      </c>
    </row>
    <row r="46" spans="1:9">
      <c r="A46" s="1" t="s">
        <v>419</v>
      </c>
      <c r="B46" s="1" t="s">
        <v>14</v>
      </c>
      <c r="C46" s="1">
        <v>503</v>
      </c>
      <c r="D46" s="1">
        <v>352</v>
      </c>
      <c r="E46" s="1" t="s">
        <v>15</v>
      </c>
      <c r="F46" s="1">
        <v>3.1E-2</v>
      </c>
      <c r="G46" s="1">
        <v>79.457999999999998</v>
      </c>
      <c r="H46" s="1">
        <v>69.98</v>
      </c>
      <c r="I46" s="1">
        <v>1.0349999999999999</v>
      </c>
    </row>
    <row r="47" spans="1:9">
      <c r="A47" s="1" t="s">
        <v>418</v>
      </c>
      <c r="B47" s="1" t="s">
        <v>14</v>
      </c>
      <c r="C47" s="1">
        <v>504</v>
      </c>
      <c r="D47" s="1">
        <v>352</v>
      </c>
      <c r="E47" s="1" t="s">
        <v>15</v>
      </c>
      <c r="F47" s="1">
        <v>0.16600000000000001</v>
      </c>
      <c r="G47" s="1">
        <v>79.457999999999998</v>
      </c>
      <c r="H47" s="1">
        <v>69.840999999999994</v>
      </c>
      <c r="I47" s="1">
        <v>1.032</v>
      </c>
    </row>
    <row r="48" spans="1:9">
      <c r="A48" s="1" t="s">
        <v>209</v>
      </c>
      <c r="B48" s="1" t="s">
        <v>14</v>
      </c>
      <c r="C48" s="1">
        <v>576</v>
      </c>
      <c r="D48" s="1">
        <v>401</v>
      </c>
      <c r="E48" s="1" t="s">
        <v>15</v>
      </c>
      <c r="F48" s="1">
        <v>0.93799999999999994</v>
      </c>
      <c r="G48" s="1">
        <v>90.519000000000005</v>
      </c>
      <c r="H48" s="1">
        <v>69.617999999999995</v>
      </c>
      <c r="I48" s="1">
        <v>1.028</v>
      </c>
    </row>
    <row r="49" spans="1:9">
      <c r="A49" s="1" t="s">
        <v>205</v>
      </c>
      <c r="B49" s="1" t="s">
        <v>14</v>
      </c>
      <c r="C49" s="1">
        <v>577</v>
      </c>
      <c r="D49" s="1">
        <v>401</v>
      </c>
      <c r="E49" s="1" t="s">
        <v>15</v>
      </c>
      <c r="F49" s="1">
        <v>0.05</v>
      </c>
      <c r="G49" s="1">
        <v>90.519000000000005</v>
      </c>
      <c r="H49" s="1">
        <v>69.497</v>
      </c>
      <c r="I49" s="1">
        <v>1.0249999999999999</v>
      </c>
    </row>
    <row r="50" spans="1:9">
      <c r="A50" s="1" t="s">
        <v>415</v>
      </c>
      <c r="B50" s="1" t="s">
        <v>14</v>
      </c>
      <c r="C50" s="1">
        <v>75</v>
      </c>
      <c r="D50" s="1">
        <v>52</v>
      </c>
      <c r="E50" s="1" t="s">
        <v>15</v>
      </c>
      <c r="F50" s="1">
        <v>-0.129</v>
      </c>
      <c r="G50" s="1">
        <v>11.738</v>
      </c>
      <c r="H50" s="1">
        <v>69.332999999999998</v>
      </c>
      <c r="I50" s="1">
        <v>1.022</v>
      </c>
    </row>
    <row r="51" spans="1:9">
      <c r="A51" s="1" t="s">
        <v>414</v>
      </c>
      <c r="B51" s="1" t="s">
        <v>14</v>
      </c>
      <c r="C51" s="1">
        <v>450</v>
      </c>
      <c r="D51" s="1">
        <v>306</v>
      </c>
      <c r="E51" s="1" t="s">
        <v>15</v>
      </c>
      <c r="F51" s="1">
        <v>5.0000000000000001E-3</v>
      </c>
      <c r="G51" s="1">
        <v>69.073999999999998</v>
      </c>
      <c r="H51" s="1">
        <v>68</v>
      </c>
      <c r="I51" s="1">
        <v>0.995</v>
      </c>
    </row>
    <row r="52" spans="1:9">
      <c r="A52" s="1" t="s">
        <v>413</v>
      </c>
      <c r="B52" s="1" t="s">
        <v>14</v>
      </c>
      <c r="C52" s="1">
        <v>451</v>
      </c>
      <c r="D52" s="1">
        <v>306</v>
      </c>
      <c r="E52" s="1" t="s">
        <v>15</v>
      </c>
      <c r="F52" s="1">
        <v>0.193</v>
      </c>
      <c r="G52" s="1">
        <v>69.073999999999998</v>
      </c>
      <c r="H52" s="1">
        <v>67.849000000000004</v>
      </c>
      <c r="I52" s="1">
        <v>0.99099999999999999</v>
      </c>
    </row>
    <row r="53" spans="1:9">
      <c r="A53" s="1" t="s">
        <v>411</v>
      </c>
      <c r="B53" s="1" t="s">
        <v>16</v>
      </c>
      <c r="C53" s="1">
        <v>135</v>
      </c>
      <c r="D53" s="1">
        <v>91</v>
      </c>
      <c r="E53" s="1" t="s">
        <v>15</v>
      </c>
      <c r="F53" s="1">
        <v>5.0000000000000001E-3</v>
      </c>
      <c r="G53" s="1">
        <v>20.542000000000002</v>
      </c>
      <c r="H53" s="1">
        <v>67.406999999999996</v>
      </c>
      <c r="I53" s="1">
        <v>0.98199999999999998</v>
      </c>
    </row>
    <row r="54" spans="1:9">
      <c r="A54" s="1" t="s">
        <v>412</v>
      </c>
      <c r="B54" s="1" t="s">
        <v>16</v>
      </c>
      <c r="C54" s="1">
        <v>135</v>
      </c>
      <c r="D54" s="1">
        <v>91</v>
      </c>
      <c r="E54" s="1" t="s">
        <v>15</v>
      </c>
      <c r="F54" s="1">
        <v>2E-3</v>
      </c>
      <c r="G54" s="1">
        <v>20.542000000000002</v>
      </c>
      <c r="H54" s="1">
        <v>67.406999999999996</v>
      </c>
      <c r="I54" s="1">
        <v>0.98199999999999998</v>
      </c>
    </row>
    <row r="55" spans="1:9">
      <c r="A55" s="1" t="s">
        <v>406</v>
      </c>
      <c r="B55" s="1" t="s">
        <v>14</v>
      </c>
      <c r="C55" s="1">
        <v>125</v>
      </c>
      <c r="D55" s="1">
        <v>84</v>
      </c>
      <c r="E55" s="1" t="s">
        <v>15</v>
      </c>
      <c r="F55" s="1">
        <v>-0.33700000000000002</v>
      </c>
      <c r="G55" s="1">
        <v>18.962</v>
      </c>
      <c r="H55" s="1">
        <v>67.2</v>
      </c>
      <c r="I55" s="1">
        <v>0.97799999999999998</v>
      </c>
    </row>
    <row r="56" spans="1:9">
      <c r="A56" s="1" t="s">
        <v>403</v>
      </c>
      <c r="B56" s="1" t="s">
        <v>16</v>
      </c>
      <c r="C56" s="1">
        <v>111</v>
      </c>
      <c r="D56" s="1">
        <v>74</v>
      </c>
      <c r="E56" s="1" t="s">
        <v>15</v>
      </c>
      <c r="F56" s="1">
        <v>2.4E-2</v>
      </c>
      <c r="G56" s="1">
        <v>16.704000000000001</v>
      </c>
      <c r="H56" s="1">
        <v>66.667000000000002</v>
      </c>
      <c r="I56" s="1">
        <v>0.96699999999999997</v>
      </c>
    </row>
    <row r="57" spans="1:9">
      <c r="A57" s="1" t="s">
        <v>402</v>
      </c>
      <c r="B57" s="1" t="s">
        <v>16</v>
      </c>
      <c r="C57" s="1">
        <v>55</v>
      </c>
      <c r="D57" s="1">
        <v>36</v>
      </c>
      <c r="E57" s="1" t="s">
        <v>15</v>
      </c>
      <c r="F57" s="1">
        <v>0.374</v>
      </c>
      <c r="G57" s="1">
        <v>8.1259999999999994</v>
      </c>
      <c r="H57" s="1">
        <v>65.454999999999998</v>
      </c>
      <c r="I57" s="1">
        <v>0.94199999999999995</v>
      </c>
    </row>
    <row r="58" spans="1:9">
      <c r="A58" s="1" t="s">
        <v>400</v>
      </c>
      <c r="B58" s="1" t="s">
        <v>14</v>
      </c>
      <c r="C58" s="1">
        <v>27</v>
      </c>
      <c r="D58" s="1">
        <v>17</v>
      </c>
      <c r="E58" s="1" t="s">
        <v>15</v>
      </c>
      <c r="F58" s="1">
        <v>-3.9E-2</v>
      </c>
      <c r="G58" s="1">
        <v>3.8370000000000002</v>
      </c>
      <c r="H58" s="1">
        <v>62.963000000000001</v>
      </c>
      <c r="I58" s="1">
        <v>0.89100000000000001</v>
      </c>
    </row>
    <row r="59" spans="1:9">
      <c r="A59" s="1" t="s">
        <v>398</v>
      </c>
      <c r="B59" s="1" t="s">
        <v>16</v>
      </c>
      <c r="C59" s="1">
        <v>34</v>
      </c>
      <c r="D59" s="1">
        <v>21</v>
      </c>
      <c r="E59" s="1" t="s">
        <v>15</v>
      </c>
      <c r="F59" s="1">
        <v>0.68899999999999995</v>
      </c>
      <c r="G59" s="1">
        <v>4.74</v>
      </c>
      <c r="H59" s="1">
        <v>61.765000000000001</v>
      </c>
      <c r="I59" s="1">
        <v>0.86699999999999999</v>
      </c>
    </row>
    <row r="60" spans="1:9">
      <c r="A60" s="1" t="s">
        <v>397</v>
      </c>
      <c r="B60" s="1" t="s">
        <v>16</v>
      </c>
      <c r="C60" s="1">
        <v>146</v>
      </c>
      <c r="D60" s="1">
        <v>87</v>
      </c>
      <c r="E60" s="1" t="s">
        <v>15</v>
      </c>
      <c r="F60" s="1">
        <v>0.115</v>
      </c>
      <c r="G60" s="1">
        <v>19.638999999999999</v>
      </c>
      <c r="H60" s="1">
        <v>59.588999999999999</v>
      </c>
      <c r="I60" s="1">
        <v>0.82199999999999995</v>
      </c>
    </row>
    <row r="61" spans="1:9">
      <c r="A61" s="1" t="s">
        <v>396</v>
      </c>
      <c r="B61" s="1" t="s">
        <v>16</v>
      </c>
      <c r="C61" s="1">
        <v>74</v>
      </c>
      <c r="D61" s="1">
        <v>44</v>
      </c>
      <c r="E61" s="1" t="s">
        <v>15</v>
      </c>
      <c r="F61" s="1">
        <v>-3.6999999999999998E-2</v>
      </c>
      <c r="G61" s="1">
        <v>9.9320000000000004</v>
      </c>
      <c r="H61" s="1">
        <v>59.459000000000003</v>
      </c>
      <c r="I61" s="1">
        <v>0.82</v>
      </c>
    </row>
    <row r="62" spans="1:9">
      <c r="A62" s="1" t="s">
        <v>395</v>
      </c>
      <c r="B62" s="1" t="s">
        <v>14</v>
      </c>
      <c r="C62" s="1">
        <v>83</v>
      </c>
      <c r="D62" s="1">
        <v>48</v>
      </c>
      <c r="E62" s="1" t="s">
        <v>15</v>
      </c>
      <c r="F62" s="1">
        <v>-0.151</v>
      </c>
      <c r="G62" s="1">
        <v>10.835000000000001</v>
      </c>
      <c r="H62" s="1">
        <v>57.831000000000003</v>
      </c>
      <c r="I62" s="1">
        <v>0.78600000000000003</v>
      </c>
    </row>
    <row r="63" spans="1:9">
      <c r="A63" s="1" t="s">
        <v>394</v>
      </c>
      <c r="B63" s="1" t="s">
        <v>16</v>
      </c>
      <c r="C63" s="1">
        <v>53</v>
      </c>
      <c r="D63" s="1">
        <v>30</v>
      </c>
      <c r="E63" s="1" t="s">
        <v>15</v>
      </c>
      <c r="F63" s="1">
        <v>0.16300000000000001</v>
      </c>
      <c r="G63" s="1">
        <v>6.7720000000000002</v>
      </c>
      <c r="H63" s="1">
        <v>56.603999999999999</v>
      </c>
      <c r="I63" s="1">
        <v>0.76100000000000001</v>
      </c>
    </row>
    <row r="64" spans="1:9">
      <c r="A64" s="1" t="s">
        <v>391</v>
      </c>
      <c r="B64" s="1" t="s">
        <v>16</v>
      </c>
      <c r="C64" s="1">
        <v>139</v>
      </c>
      <c r="D64" s="1">
        <v>76</v>
      </c>
      <c r="E64" s="1" t="s">
        <v>15</v>
      </c>
      <c r="F64" s="1">
        <v>1.4E-2</v>
      </c>
      <c r="G64" s="1">
        <v>17.155999999999999</v>
      </c>
      <c r="H64" s="1">
        <v>54.676000000000002</v>
      </c>
      <c r="I64" s="1">
        <v>0.72199999999999998</v>
      </c>
    </row>
    <row r="65" spans="1:9">
      <c r="A65" s="1" t="s">
        <v>195</v>
      </c>
      <c r="B65" s="1" t="s">
        <v>16</v>
      </c>
      <c r="C65" s="1">
        <v>145</v>
      </c>
      <c r="D65" s="1">
        <v>79</v>
      </c>
      <c r="E65" s="1" t="s">
        <v>15</v>
      </c>
      <c r="F65" s="1">
        <v>5.8999999999999997E-2</v>
      </c>
      <c r="G65" s="1">
        <v>17.832999999999998</v>
      </c>
      <c r="H65" s="1">
        <v>54.482999999999997</v>
      </c>
      <c r="I65" s="1">
        <v>0.71799999999999997</v>
      </c>
    </row>
    <row r="66" spans="1:9">
      <c r="A66" s="3" t="s">
        <v>321</v>
      </c>
      <c r="B66" s="3" t="s">
        <v>14</v>
      </c>
      <c r="C66" s="3">
        <v>23</v>
      </c>
      <c r="D66" s="3">
        <v>0</v>
      </c>
      <c r="E66" s="3" t="s">
        <v>22</v>
      </c>
      <c r="F66" s="3">
        <v>-0.22500000000000001</v>
      </c>
      <c r="G66" s="3">
        <v>1.4259999999999999</v>
      </c>
      <c r="H66" s="3">
        <v>100</v>
      </c>
      <c r="I66" s="3">
        <v>0.69699999999999995</v>
      </c>
    </row>
    <row r="67" spans="1:9">
      <c r="A67" s="1" t="s">
        <v>390</v>
      </c>
      <c r="B67" s="1" t="s">
        <v>16</v>
      </c>
      <c r="C67" s="1">
        <v>213</v>
      </c>
      <c r="D67" s="1">
        <v>112</v>
      </c>
      <c r="E67" s="1" t="s">
        <v>15</v>
      </c>
      <c r="F67" s="1">
        <v>2.9000000000000001E-2</v>
      </c>
      <c r="G67" s="1">
        <v>25.282</v>
      </c>
      <c r="H67" s="1">
        <v>52.582000000000001</v>
      </c>
      <c r="I67" s="1">
        <v>0.67900000000000005</v>
      </c>
    </row>
    <row r="68" spans="1:9">
      <c r="A68" s="1" t="s">
        <v>389</v>
      </c>
      <c r="B68" s="1" t="s">
        <v>14</v>
      </c>
      <c r="C68" s="1">
        <v>61</v>
      </c>
      <c r="D68" s="1">
        <v>32</v>
      </c>
      <c r="E68" s="1" t="s">
        <v>15</v>
      </c>
      <c r="F68" s="1">
        <v>0.16</v>
      </c>
      <c r="G68" s="1">
        <v>7.2229999999999999</v>
      </c>
      <c r="H68" s="1">
        <v>52.459000000000003</v>
      </c>
      <c r="I68" s="1">
        <v>0.67600000000000005</v>
      </c>
    </row>
    <row r="69" spans="1:9">
      <c r="A69" s="1" t="s">
        <v>387</v>
      </c>
      <c r="B69" s="1" t="s">
        <v>16</v>
      </c>
      <c r="C69" s="1">
        <v>241</v>
      </c>
      <c r="D69" s="1">
        <v>125</v>
      </c>
      <c r="E69" s="1" t="s">
        <v>15</v>
      </c>
      <c r="F69" s="1">
        <v>1.4999999999999999E-2</v>
      </c>
      <c r="G69" s="1">
        <v>28.216999999999999</v>
      </c>
      <c r="H69" s="1">
        <v>51.866999999999997</v>
      </c>
      <c r="I69" s="1">
        <v>0.66400000000000003</v>
      </c>
    </row>
    <row r="70" spans="1:9">
      <c r="A70" s="1" t="s">
        <v>385</v>
      </c>
      <c r="B70" s="1" t="s">
        <v>16</v>
      </c>
      <c r="C70" s="1">
        <v>199</v>
      </c>
      <c r="D70" s="1">
        <v>103</v>
      </c>
      <c r="E70" s="1" t="s">
        <v>15</v>
      </c>
      <c r="F70" s="1">
        <v>2.8000000000000001E-2</v>
      </c>
      <c r="G70" s="1">
        <v>23.251000000000001</v>
      </c>
      <c r="H70" s="1">
        <v>51.759</v>
      </c>
      <c r="I70" s="1">
        <v>0.66200000000000003</v>
      </c>
    </row>
    <row r="71" spans="1:9">
      <c r="A71" s="1" t="s">
        <v>189</v>
      </c>
      <c r="B71" s="1" t="s">
        <v>14</v>
      </c>
      <c r="C71" s="1">
        <v>48</v>
      </c>
      <c r="D71" s="1">
        <v>24</v>
      </c>
      <c r="E71" s="1" t="s">
        <v>15</v>
      </c>
      <c r="F71" s="1">
        <v>-5.7000000000000002E-2</v>
      </c>
      <c r="G71" s="1">
        <v>5.4180000000000001</v>
      </c>
      <c r="H71" s="1">
        <v>50</v>
      </c>
      <c r="I71" s="1">
        <v>0.626</v>
      </c>
    </row>
    <row r="72" spans="1:9">
      <c r="A72" s="1" t="s">
        <v>383</v>
      </c>
      <c r="B72" s="1" t="s">
        <v>14</v>
      </c>
      <c r="C72" s="1">
        <v>40</v>
      </c>
      <c r="D72" s="1">
        <v>20</v>
      </c>
      <c r="E72" s="1" t="s">
        <v>15</v>
      </c>
      <c r="F72" s="1">
        <v>0.14399999999999999</v>
      </c>
      <c r="G72" s="1">
        <v>4.5149999999999997</v>
      </c>
      <c r="H72" s="1">
        <v>50</v>
      </c>
      <c r="I72" s="1">
        <v>0.626</v>
      </c>
    </row>
    <row r="73" spans="1:9">
      <c r="A73" s="1" t="s">
        <v>384</v>
      </c>
      <c r="B73" s="1" t="s">
        <v>14</v>
      </c>
      <c r="C73" s="1">
        <v>48</v>
      </c>
      <c r="D73" s="1">
        <v>24</v>
      </c>
      <c r="E73" s="1" t="s">
        <v>15</v>
      </c>
      <c r="F73" s="1">
        <v>-0.03</v>
      </c>
      <c r="G73" s="1">
        <v>5.4180000000000001</v>
      </c>
      <c r="H73" s="1">
        <v>50</v>
      </c>
      <c r="I73" s="1">
        <v>0.626</v>
      </c>
    </row>
    <row r="74" spans="1:9">
      <c r="A74" s="1" t="s">
        <v>181</v>
      </c>
      <c r="B74" s="1" t="s">
        <v>16</v>
      </c>
      <c r="C74" s="1">
        <v>388</v>
      </c>
      <c r="D74" s="1">
        <v>190</v>
      </c>
      <c r="E74" s="1" t="s">
        <v>15</v>
      </c>
      <c r="F74" s="1">
        <v>2.5000000000000001E-2</v>
      </c>
      <c r="G74" s="1">
        <v>42.889000000000003</v>
      </c>
      <c r="H74" s="1">
        <v>48.969000000000001</v>
      </c>
      <c r="I74" s="1">
        <v>0.60399999999999998</v>
      </c>
    </row>
    <row r="75" spans="1:9">
      <c r="A75" s="1" t="s">
        <v>17</v>
      </c>
      <c r="B75" s="1" t="s">
        <v>16</v>
      </c>
      <c r="C75" s="1">
        <v>389</v>
      </c>
      <c r="D75" s="1">
        <v>190</v>
      </c>
      <c r="E75" s="1" t="s">
        <v>15</v>
      </c>
      <c r="F75" s="1">
        <v>1.0999999999999999E-2</v>
      </c>
      <c r="G75" s="1">
        <v>42.889000000000003</v>
      </c>
      <c r="H75" s="1">
        <v>48.843000000000004</v>
      </c>
      <c r="I75" s="1">
        <v>0.60199999999999998</v>
      </c>
    </row>
    <row r="76" spans="1:9">
      <c r="A76" s="1" t="s">
        <v>378</v>
      </c>
      <c r="B76" s="1" t="s">
        <v>14</v>
      </c>
      <c r="C76" s="1">
        <v>59</v>
      </c>
      <c r="D76" s="1">
        <v>27</v>
      </c>
      <c r="E76" s="1" t="s">
        <v>15</v>
      </c>
      <c r="F76" s="1">
        <v>5.0000000000000001E-3</v>
      </c>
      <c r="G76" s="1">
        <v>6.0949999999999998</v>
      </c>
      <c r="H76" s="1">
        <v>45.762999999999998</v>
      </c>
      <c r="I76" s="1">
        <v>0.53800000000000003</v>
      </c>
    </row>
    <row r="77" spans="1:9">
      <c r="A77" s="1" t="s">
        <v>376</v>
      </c>
      <c r="B77" s="1" t="s">
        <v>14</v>
      </c>
      <c r="C77" s="1">
        <v>46</v>
      </c>
      <c r="D77" s="1">
        <v>21</v>
      </c>
      <c r="E77" s="1" t="s">
        <v>15</v>
      </c>
      <c r="F77" s="1">
        <v>0.35</v>
      </c>
      <c r="G77" s="1">
        <v>4.74</v>
      </c>
      <c r="H77" s="1">
        <v>45.652000000000001</v>
      </c>
      <c r="I77" s="1">
        <v>0.53500000000000003</v>
      </c>
    </row>
    <row r="78" spans="1:9">
      <c r="A78" s="1" t="s">
        <v>262</v>
      </c>
      <c r="B78" s="1" t="s">
        <v>14</v>
      </c>
      <c r="C78" s="1">
        <v>31</v>
      </c>
      <c r="D78" s="1">
        <v>14</v>
      </c>
      <c r="E78" s="1" t="s">
        <v>15</v>
      </c>
      <c r="F78" s="1">
        <v>0.20100000000000001</v>
      </c>
      <c r="G78" s="1">
        <v>3.16</v>
      </c>
      <c r="H78" s="1">
        <v>45.161000000000001</v>
      </c>
      <c r="I78" s="1">
        <v>0.52500000000000002</v>
      </c>
    </row>
    <row r="79" spans="1:9">
      <c r="A79" s="1" t="s">
        <v>374</v>
      </c>
      <c r="B79" s="1" t="s">
        <v>14</v>
      </c>
      <c r="C79" s="1">
        <v>161</v>
      </c>
      <c r="D79" s="1">
        <v>72</v>
      </c>
      <c r="E79" s="1" t="s">
        <v>15</v>
      </c>
      <c r="F79" s="1">
        <v>9.2999999999999999E-2</v>
      </c>
      <c r="G79" s="1">
        <v>16.253</v>
      </c>
      <c r="H79" s="1">
        <v>44.72</v>
      </c>
      <c r="I79" s="1">
        <v>0.51600000000000001</v>
      </c>
    </row>
    <row r="80" spans="1:9">
      <c r="A80" s="1" t="s">
        <v>373</v>
      </c>
      <c r="B80" s="1" t="s">
        <v>14</v>
      </c>
      <c r="C80" s="1">
        <v>141</v>
      </c>
      <c r="D80" s="1">
        <v>63</v>
      </c>
      <c r="E80" s="1" t="s">
        <v>15</v>
      </c>
      <c r="F80" s="1">
        <v>3.9E-2</v>
      </c>
      <c r="G80" s="1">
        <v>14.221</v>
      </c>
      <c r="H80" s="1">
        <v>44.680999999999997</v>
      </c>
      <c r="I80" s="1">
        <v>0.51500000000000001</v>
      </c>
    </row>
    <row r="81" spans="1:9">
      <c r="A81" s="3" t="s">
        <v>333</v>
      </c>
      <c r="B81" s="3" t="s">
        <v>16</v>
      </c>
      <c r="C81" s="3">
        <v>54</v>
      </c>
      <c r="D81" s="3">
        <v>2</v>
      </c>
      <c r="E81" s="3" t="s">
        <v>22</v>
      </c>
      <c r="F81" s="3">
        <v>-8.4000000000000005E-2</v>
      </c>
      <c r="G81" s="3">
        <v>3.2240000000000002</v>
      </c>
      <c r="H81" s="3">
        <v>96.296000000000006</v>
      </c>
      <c r="I81" s="3">
        <v>0.51400000000000001</v>
      </c>
    </row>
    <row r="82" spans="1:9">
      <c r="A82" s="1" t="s">
        <v>372</v>
      </c>
      <c r="B82" s="1" t="s">
        <v>14</v>
      </c>
      <c r="C82" s="1">
        <v>143</v>
      </c>
      <c r="D82" s="1">
        <v>63</v>
      </c>
      <c r="E82" s="1" t="s">
        <v>15</v>
      </c>
      <c r="F82" s="1">
        <v>2E-3</v>
      </c>
      <c r="G82" s="1">
        <v>14.221</v>
      </c>
      <c r="H82" s="1">
        <v>44.055999999999997</v>
      </c>
      <c r="I82" s="1">
        <v>0.502</v>
      </c>
    </row>
    <row r="83" spans="1:9">
      <c r="A83" s="1" t="s">
        <v>371</v>
      </c>
      <c r="B83" s="1" t="s">
        <v>14</v>
      </c>
      <c r="C83" s="1">
        <v>169</v>
      </c>
      <c r="D83" s="1">
        <v>74</v>
      </c>
      <c r="E83" s="1" t="s">
        <v>15</v>
      </c>
      <c r="F83" s="1">
        <v>3.5999999999999997E-2</v>
      </c>
      <c r="G83" s="1">
        <v>16.704000000000001</v>
      </c>
      <c r="H83" s="1">
        <v>43.786999999999999</v>
      </c>
      <c r="I83" s="1">
        <v>0.496</v>
      </c>
    </row>
    <row r="84" spans="1:9">
      <c r="A84" s="1" t="s">
        <v>369</v>
      </c>
      <c r="B84" s="1" t="s">
        <v>14</v>
      </c>
      <c r="C84" s="1">
        <v>226</v>
      </c>
      <c r="D84" s="1">
        <v>95</v>
      </c>
      <c r="E84" s="1" t="s">
        <v>15</v>
      </c>
      <c r="F84" s="1">
        <v>4.5999999999999999E-2</v>
      </c>
      <c r="G84" s="1">
        <v>21.445</v>
      </c>
      <c r="H84" s="1">
        <v>42.034999999999997</v>
      </c>
      <c r="I84" s="1">
        <v>0.45900000000000002</v>
      </c>
    </row>
    <row r="85" spans="1:9">
      <c r="A85" s="1" t="s">
        <v>368</v>
      </c>
      <c r="B85" s="1" t="s">
        <v>14</v>
      </c>
      <c r="C85" s="1">
        <v>227</v>
      </c>
      <c r="D85" s="1">
        <v>95</v>
      </c>
      <c r="E85" s="1" t="s">
        <v>15</v>
      </c>
      <c r="F85" s="1">
        <v>0.03</v>
      </c>
      <c r="G85" s="1">
        <v>21.445</v>
      </c>
      <c r="H85" s="1">
        <v>41.85</v>
      </c>
      <c r="I85" s="1">
        <v>0.45500000000000002</v>
      </c>
    </row>
    <row r="86" spans="1:9">
      <c r="A86" s="1" t="s">
        <v>260</v>
      </c>
      <c r="B86" s="1" t="s">
        <v>14</v>
      </c>
      <c r="C86" s="1">
        <v>41</v>
      </c>
      <c r="D86" s="1">
        <v>17</v>
      </c>
      <c r="E86" s="1" t="s">
        <v>15</v>
      </c>
      <c r="F86" s="1">
        <v>-0.223</v>
      </c>
      <c r="G86" s="1">
        <v>3.8370000000000002</v>
      </c>
      <c r="H86" s="1">
        <v>41.463000000000001</v>
      </c>
      <c r="I86" s="1">
        <v>0.44700000000000001</v>
      </c>
    </row>
    <row r="87" spans="1:9">
      <c r="A87" s="3" t="s">
        <v>337</v>
      </c>
      <c r="B87" s="3" t="s">
        <v>16</v>
      </c>
      <c r="C87" s="3">
        <v>50</v>
      </c>
      <c r="D87" s="3">
        <v>3</v>
      </c>
      <c r="E87" s="3" t="s">
        <v>22</v>
      </c>
      <c r="F87" s="3">
        <v>-0.24099999999999999</v>
      </c>
      <c r="G87" s="3">
        <v>2.9140000000000001</v>
      </c>
      <c r="H87" s="3">
        <v>94</v>
      </c>
      <c r="I87" s="3">
        <v>0.432</v>
      </c>
    </row>
    <row r="88" spans="1:9">
      <c r="A88" s="1" t="s">
        <v>367</v>
      </c>
      <c r="B88" s="1" t="s">
        <v>16</v>
      </c>
      <c r="C88" s="1">
        <v>59</v>
      </c>
      <c r="D88" s="1">
        <v>24</v>
      </c>
      <c r="E88" s="1" t="s">
        <v>15</v>
      </c>
      <c r="F88" s="1">
        <v>0.17399999999999999</v>
      </c>
      <c r="G88" s="1">
        <v>5.4180000000000001</v>
      </c>
      <c r="H88" s="1">
        <v>40.677999999999997</v>
      </c>
      <c r="I88" s="1">
        <v>0.43099999999999999</v>
      </c>
    </row>
    <row r="89" spans="1:9">
      <c r="A89" s="3" t="s">
        <v>338</v>
      </c>
      <c r="B89" s="3" t="s">
        <v>16</v>
      </c>
      <c r="C89" s="3">
        <v>92</v>
      </c>
      <c r="D89" s="3">
        <v>6</v>
      </c>
      <c r="E89" s="3" t="s">
        <v>22</v>
      </c>
      <c r="F89" s="3">
        <v>-0.66800000000000004</v>
      </c>
      <c r="G89" s="3">
        <v>5.3319999999999999</v>
      </c>
      <c r="H89" s="3">
        <v>93.477999999999994</v>
      </c>
      <c r="I89" s="3">
        <v>0.41399999999999998</v>
      </c>
    </row>
    <row r="90" spans="1:9">
      <c r="A90" s="1" t="s">
        <v>366</v>
      </c>
      <c r="B90" s="1" t="s">
        <v>14</v>
      </c>
      <c r="C90" s="1">
        <v>103</v>
      </c>
      <c r="D90" s="1">
        <v>41</v>
      </c>
      <c r="E90" s="1" t="s">
        <v>15</v>
      </c>
      <c r="F90" s="1">
        <v>0.17100000000000001</v>
      </c>
      <c r="G90" s="1">
        <v>9.2550000000000008</v>
      </c>
      <c r="H90" s="1">
        <v>39.805999999999997</v>
      </c>
      <c r="I90" s="1">
        <v>0.41199999999999998</v>
      </c>
    </row>
    <row r="91" spans="1:9">
      <c r="A91" s="1" t="s">
        <v>365</v>
      </c>
      <c r="B91" s="1" t="s">
        <v>14</v>
      </c>
      <c r="C91" s="1">
        <v>184</v>
      </c>
      <c r="D91" s="1">
        <v>73</v>
      </c>
      <c r="E91" s="1" t="s">
        <v>15</v>
      </c>
      <c r="F91" s="1">
        <v>3.2000000000000001E-2</v>
      </c>
      <c r="G91" s="1">
        <v>16.478999999999999</v>
      </c>
      <c r="H91" s="1">
        <v>39.673999999999999</v>
      </c>
      <c r="I91" s="1">
        <v>0.40899999999999997</v>
      </c>
    </row>
    <row r="92" spans="1:9">
      <c r="A92" s="1" t="s">
        <v>364</v>
      </c>
      <c r="B92" s="1" t="s">
        <v>14</v>
      </c>
      <c r="C92" s="1">
        <v>46</v>
      </c>
      <c r="D92" s="1">
        <v>18</v>
      </c>
      <c r="E92" s="1" t="s">
        <v>15</v>
      </c>
      <c r="F92" s="1">
        <v>0.25600000000000001</v>
      </c>
      <c r="G92" s="1">
        <v>4.0629999999999997</v>
      </c>
      <c r="H92" s="1">
        <v>39.130000000000003</v>
      </c>
      <c r="I92" s="1">
        <v>0.39800000000000002</v>
      </c>
    </row>
    <row r="93" spans="1:9">
      <c r="A93" s="3" t="s">
        <v>340</v>
      </c>
      <c r="B93" s="3" t="s">
        <v>16</v>
      </c>
      <c r="C93" s="3">
        <v>56</v>
      </c>
      <c r="D93" s="3">
        <v>4</v>
      </c>
      <c r="E93" s="3" t="s">
        <v>22</v>
      </c>
      <c r="F93" s="3">
        <v>-0.23899999999999999</v>
      </c>
      <c r="G93" s="3">
        <v>3.2240000000000002</v>
      </c>
      <c r="H93" s="3">
        <v>92.856999999999999</v>
      </c>
      <c r="I93" s="3">
        <v>0.39400000000000002</v>
      </c>
    </row>
    <row r="94" spans="1:9">
      <c r="A94" s="3" t="s">
        <v>341</v>
      </c>
      <c r="B94" s="3" t="s">
        <v>14</v>
      </c>
      <c r="C94" s="3">
        <v>55</v>
      </c>
      <c r="D94" s="3">
        <v>4</v>
      </c>
      <c r="E94" s="3" t="s">
        <v>22</v>
      </c>
      <c r="F94" s="3">
        <v>-8.0000000000000002E-3</v>
      </c>
      <c r="G94" s="3">
        <v>3.1619999999999999</v>
      </c>
      <c r="H94" s="3">
        <v>92.727000000000004</v>
      </c>
      <c r="I94" s="3">
        <v>0.39</v>
      </c>
    </row>
    <row r="95" spans="1:9">
      <c r="A95" s="1" t="s">
        <v>363</v>
      </c>
      <c r="B95" s="1" t="s">
        <v>14</v>
      </c>
      <c r="C95" s="1">
        <v>111</v>
      </c>
      <c r="D95" s="1">
        <v>43</v>
      </c>
      <c r="E95" s="1" t="s">
        <v>15</v>
      </c>
      <c r="F95" s="1">
        <v>0.35199999999999998</v>
      </c>
      <c r="G95" s="1">
        <v>9.7070000000000007</v>
      </c>
      <c r="H95" s="1">
        <v>38.738999999999997</v>
      </c>
      <c r="I95" s="1">
        <v>0.38900000000000001</v>
      </c>
    </row>
    <row r="96" spans="1:9">
      <c r="A96" s="1" t="s">
        <v>362</v>
      </c>
      <c r="B96" s="1" t="s">
        <v>16</v>
      </c>
      <c r="C96" s="1">
        <v>57</v>
      </c>
      <c r="D96" s="1">
        <v>22</v>
      </c>
      <c r="E96" s="1" t="s">
        <v>15</v>
      </c>
      <c r="F96" s="1">
        <v>-0.33400000000000002</v>
      </c>
      <c r="G96" s="1">
        <v>4.9660000000000002</v>
      </c>
      <c r="H96" s="1">
        <v>38.595999999999997</v>
      </c>
      <c r="I96" s="1">
        <v>0.38600000000000001</v>
      </c>
    </row>
    <row r="97" spans="1:9">
      <c r="A97" s="3" t="s">
        <v>344</v>
      </c>
      <c r="B97" s="3" t="s">
        <v>16</v>
      </c>
      <c r="C97" s="3">
        <v>188</v>
      </c>
      <c r="D97" s="3">
        <v>14</v>
      </c>
      <c r="E97" s="3" t="s">
        <v>22</v>
      </c>
      <c r="F97" s="3">
        <v>-9.4E-2</v>
      </c>
      <c r="G97" s="3">
        <v>10.787000000000001</v>
      </c>
      <c r="H97" s="3">
        <v>92.552999999999997</v>
      </c>
      <c r="I97" s="3">
        <v>0.38400000000000001</v>
      </c>
    </row>
    <row r="98" spans="1:9">
      <c r="A98" s="3" t="s">
        <v>345</v>
      </c>
      <c r="B98" s="3" t="s">
        <v>16</v>
      </c>
      <c r="C98" s="3">
        <v>188</v>
      </c>
      <c r="D98" s="3">
        <v>14</v>
      </c>
      <c r="E98" s="3" t="s">
        <v>22</v>
      </c>
      <c r="F98" s="3">
        <v>-0.59899999999999998</v>
      </c>
      <c r="G98" s="3">
        <v>10.787000000000001</v>
      </c>
      <c r="H98" s="3">
        <v>92.552999999999997</v>
      </c>
      <c r="I98" s="3">
        <v>0.38400000000000001</v>
      </c>
    </row>
    <row r="99" spans="1:9">
      <c r="A99" s="1" t="s">
        <v>359</v>
      </c>
      <c r="B99" s="1" t="s">
        <v>14</v>
      </c>
      <c r="C99" s="1">
        <v>152</v>
      </c>
      <c r="D99" s="1">
        <v>58</v>
      </c>
      <c r="E99" s="1" t="s">
        <v>15</v>
      </c>
      <c r="F99" s="1">
        <v>3.9E-2</v>
      </c>
      <c r="G99" s="1">
        <v>13.093</v>
      </c>
      <c r="H99" s="1">
        <v>38.158000000000001</v>
      </c>
      <c r="I99" s="1">
        <v>0.377</v>
      </c>
    </row>
    <row r="100" spans="1:9">
      <c r="A100" s="3" t="s">
        <v>346</v>
      </c>
      <c r="B100" s="3" t="s">
        <v>16</v>
      </c>
      <c r="C100" s="3">
        <v>255</v>
      </c>
      <c r="D100" s="3">
        <v>20</v>
      </c>
      <c r="E100" s="3" t="s">
        <v>22</v>
      </c>
      <c r="F100" s="3">
        <v>-1.2E-2</v>
      </c>
      <c r="G100" s="3">
        <v>14.569000000000001</v>
      </c>
      <c r="H100" s="3">
        <v>92.156999999999996</v>
      </c>
      <c r="I100" s="3">
        <v>0.372</v>
      </c>
    </row>
    <row r="101" spans="1:9">
      <c r="A101" s="3" t="s">
        <v>347</v>
      </c>
      <c r="B101" s="3" t="s">
        <v>16</v>
      </c>
      <c r="C101" s="3">
        <v>255</v>
      </c>
      <c r="D101" s="3">
        <v>20</v>
      </c>
      <c r="E101" s="3" t="s">
        <v>22</v>
      </c>
      <c r="F101" s="3">
        <v>-5.1999999999999998E-2</v>
      </c>
      <c r="G101" s="3">
        <v>14.569000000000001</v>
      </c>
      <c r="H101" s="3">
        <v>92.156999999999996</v>
      </c>
      <c r="I101" s="3">
        <v>0.372</v>
      </c>
    </row>
    <row r="102" spans="1:9">
      <c r="A102" s="3" t="s">
        <v>348</v>
      </c>
      <c r="B102" s="3" t="s">
        <v>16</v>
      </c>
      <c r="C102" s="3">
        <v>204</v>
      </c>
      <c r="D102" s="3">
        <v>17</v>
      </c>
      <c r="E102" s="3" t="s">
        <v>22</v>
      </c>
      <c r="F102" s="3">
        <v>-0.129</v>
      </c>
      <c r="G102" s="3">
        <v>11.593</v>
      </c>
      <c r="H102" s="3">
        <v>91.667000000000002</v>
      </c>
      <c r="I102" s="3">
        <v>0.35599999999999998</v>
      </c>
    </row>
    <row r="103" spans="1:9">
      <c r="A103" s="1" t="s">
        <v>354</v>
      </c>
      <c r="B103" s="1" t="s">
        <v>14</v>
      </c>
      <c r="C103" s="1">
        <v>90</v>
      </c>
      <c r="D103" s="1">
        <v>33</v>
      </c>
      <c r="E103" s="1" t="s">
        <v>15</v>
      </c>
      <c r="F103" s="1">
        <v>6.0000000000000001E-3</v>
      </c>
      <c r="G103" s="1">
        <v>7.4489999999999998</v>
      </c>
      <c r="H103" s="1">
        <v>36.667000000000002</v>
      </c>
      <c r="I103" s="1">
        <v>0.34499999999999997</v>
      </c>
    </row>
    <row r="104" spans="1:9">
      <c r="A104" s="1" t="s">
        <v>358</v>
      </c>
      <c r="B104" s="1" t="s">
        <v>14</v>
      </c>
      <c r="C104" s="1">
        <v>90</v>
      </c>
      <c r="D104" s="1">
        <v>33</v>
      </c>
      <c r="E104" s="1" t="s">
        <v>15</v>
      </c>
      <c r="F104" s="1">
        <v>0.23599999999999999</v>
      </c>
      <c r="G104" s="1">
        <v>7.4489999999999998</v>
      </c>
      <c r="H104" s="1">
        <v>36.667000000000002</v>
      </c>
      <c r="I104" s="1">
        <v>0.34499999999999997</v>
      </c>
    </row>
    <row r="105" spans="1:9">
      <c r="A105" s="1" t="s">
        <v>351</v>
      </c>
      <c r="B105" s="1" t="s">
        <v>16</v>
      </c>
      <c r="C105" s="1">
        <v>44</v>
      </c>
      <c r="D105" s="1">
        <v>16</v>
      </c>
      <c r="E105" s="1" t="s">
        <v>15</v>
      </c>
      <c r="F105" s="1">
        <v>-3.7999999999999999E-2</v>
      </c>
      <c r="G105" s="1">
        <v>3.6120000000000001</v>
      </c>
      <c r="H105" s="1">
        <v>36.363999999999997</v>
      </c>
      <c r="I105" s="1">
        <v>0.33800000000000002</v>
      </c>
    </row>
    <row r="106" spans="1:9">
      <c r="A106" s="1" t="s">
        <v>352</v>
      </c>
      <c r="B106" s="1" t="s">
        <v>14</v>
      </c>
      <c r="C106" s="1">
        <v>44</v>
      </c>
      <c r="D106" s="1">
        <v>16</v>
      </c>
      <c r="E106" s="1" t="s">
        <v>15</v>
      </c>
      <c r="F106" s="1">
        <v>9.9000000000000005E-2</v>
      </c>
      <c r="G106" s="1">
        <v>3.6120000000000001</v>
      </c>
      <c r="H106" s="1">
        <v>36.363999999999997</v>
      </c>
      <c r="I106" s="1">
        <v>0.33800000000000002</v>
      </c>
    </row>
    <row r="107" spans="1:9">
      <c r="A107" s="1" t="s">
        <v>353</v>
      </c>
      <c r="B107" s="1" t="s">
        <v>16</v>
      </c>
      <c r="C107" s="1">
        <v>44</v>
      </c>
      <c r="D107" s="1">
        <v>16</v>
      </c>
      <c r="E107" s="1" t="s">
        <v>15</v>
      </c>
      <c r="F107" s="1">
        <v>-0.11899999999999999</v>
      </c>
      <c r="G107" s="1">
        <v>3.6120000000000001</v>
      </c>
      <c r="H107" s="1">
        <v>36.363999999999997</v>
      </c>
      <c r="I107" s="1">
        <v>0.33800000000000002</v>
      </c>
    </row>
    <row r="108" spans="1:9">
      <c r="A108" s="1" t="s">
        <v>350</v>
      </c>
      <c r="B108" s="1" t="s">
        <v>14</v>
      </c>
      <c r="C108" s="1">
        <v>83</v>
      </c>
      <c r="D108" s="1">
        <v>30</v>
      </c>
      <c r="E108" s="1" t="s">
        <v>15</v>
      </c>
      <c r="F108" s="1">
        <v>-0.27600000000000002</v>
      </c>
      <c r="G108" s="1">
        <v>6.7720000000000002</v>
      </c>
      <c r="H108" s="1">
        <v>36.145000000000003</v>
      </c>
      <c r="I108" s="1">
        <v>0.33300000000000002</v>
      </c>
    </row>
    <row r="109" spans="1:9">
      <c r="A109" s="3" t="s">
        <v>355</v>
      </c>
      <c r="B109" s="3" t="s">
        <v>14</v>
      </c>
      <c r="C109" s="3">
        <v>66</v>
      </c>
      <c r="D109" s="3">
        <v>6</v>
      </c>
      <c r="E109" s="3" t="s">
        <v>22</v>
      </c>
      <c r="F109" s="3">
        <v>-8.6999999999999994E-2</v>
      </c>
      <c r="G109" s="3">
        <v>3.72</v>
      </c>
      <c r="H109" s="3">
        <v>90.909000000000006</v>
      </c>
      <c r="I109" s="3">
        <v>0.33300000000000002</v>
      </c>
    </row>
    <row r="110" spans="1:9">
      <c r="A110" s="3" t="s">
        <v>356</v>
      </c>
      <c r="B110" s="3" t="s">
        <v>14</v>
      </c>
      <c r="C110" s="3">
        <v>44</v>
      </c>
      <c r="D110" s="3">
        <v>4</v>
      </c>
      <c r="E110" s="3" t="s">
        <v>22</v>
      </c>
      <c r="F110" s="3">
        <v>-0.16900000000000001</v>
      </c>
      <c r="G110" s="3">
        <v>2.48</v>
      </c>
      <c r="H110" s="3">
        <v>90.909000000000006</v>
      </c>
      <c r="I110" s="3">
        <v>0.33300000000000002</v>
      </c>
    </row>
    <row r="111" spans="1:9">
      <c r="A111" s="3" t="s">
        <v>357</v>
      </c>
      <c r="B111" s="3" t="s">
        <v>16</v>
      </c>
      <c r="C111" s="3">
        <v>336</v>
      </c>
      <c r="D111" s="3">
        <v>33</v>
      </c>
      <c r="E111" s="3" t="s">
        <v>22</v>
      </c>
      <c r="F111" s="3">
        <v>-1.4999999999999999E-2</v>
      </c>
      <c r="G111" s="3">
        <v>18.785</v>
      </c>
      <c r="H111" s="3">
        <v>90.179000000000002</v>
      </c>
      <c r="I111" s="3">
        <v>0.311</v>
      </c>
    </row>
    <row r="112" spans="1:9">
      <c r="A112" s="3" t="s">
        <v>83</v>
      </c>
      <c r="B112" s="3" t="s">
        <v>16</v>
      </c>
      <c r="C112" s="3">
        <v>336</v>
      </c>
      <c r="D112" s="3">
        <v>33</v>
      </c>
      <c r="E112" s="3" t="s">
        <v>22</v>
      </c>
      <c r="F112" s="3">
        <v>-1.0999999999999999E-2</v>
      </c>
      <c r="G112" s="3">
        <v>18.785</v>
      </c>
      <c r="H112" s="3">
        <v>90.179000000000002</v>
      </c>
      <c r="I112" s="3">
        <v>0.311</v>
      </c>
    </row>
    <row r="113" spans="1:9">
      <c r="A113" s="1" t="s">
        <v>259</v>
      </c>
      <c r="B113" s="1" t="s">
        <v>14</v>
      </c>
      <c r="C113" s="1">
        <v>158</v>
      </c>
      <c r="D113" s="1">
        <v>55</v>
      </c>
      <c r="E113" s="1" t="s">
        <v>15</v>
      </c>
      <c r="F113" s="1">
        <v>9.5000000000000001E-2</v>
      </c>
      <c r="G113" s="1">
        <v>12.414999999999999</v>
      </c>
      <c r="H113" s="1">
        <v>34.81</v>
      </c>
      <c r="I113" s="1">
        <v>0.30399999999999999</v>
      </c>
    </row>
    <row r="114" spans="1:9">
      <c r="A114" s="1" t="s">
        <v>349</v>
      </c>
      <c r="B114" s="1" t="s">
        <v>14</v>
      </c>
      <c r="C114" s="1">
        <v>23</v>
      </c>
      <c r="D114" s="1">
        <v>8</v>
      </c>
      <c r="E114" s="1" t="s">
        <v>15</v>
      </c>
      <c r="F114" s="1">
        <v>0.159</v>
      </c>
      <c r="G114" s="1">
        <v>1.806</v>
      </c>
      <c r="H114" s="1">
        <v>34.783000000000001</v>
      </c>
      <c r="I114" s="1">
        <v>0.30399999999999999</v>
      </c>
    </row>
    <row r="115" spans="1:9">
      <c r="A115" s="3" t="s">
        <v>360</v>
      </c>
      <c r="B115" s="3" t="s">
        <v>16</v>
      </c>
      <c r="C115" s="3">
        <v>133</v>
      </c>
      <c r="D115" s="3">
        <v>14</v>
      </c>
      <c r="E115" s="3" t="s">
        <v>22</v>
      </c>
      <c r="F115" s="3">
        <v>-4.7E-2</v>
      </c>
      <c r="G115" s="3">
        <v>7.3780000000000001</v>
      </c>
      <c r="H115" s="3">
        <v>89.474000000000004</v>
      </c>
      <c r="I115" s="3">
        <v>0.29099999999999998</v>
      </c>
    </row>
    <row r="116" spans="1:9">
      <c r="A116" s="3" t="s">
        <v>361</v>
      </c>
      <c r="B116" s="3" t="s">
        <v>16</v>
      </c>
      <c r="C116" s="3">
        <v>114</v>
      </c>
      <c r="D116" s="3">
        <v>12</v>
      </c>
      <c r="E116" s="3" t="s">
        <v>22</v>
      </c>
      <c r="F116" s="3">
        <v>-0.11700000000000001</v>
      </c>
      <c r="G116" s="3">
        <v>6.3239999999999998</v>
      </c>
      <c r="H116" s="3">
        <v>89.474000000000004</v>
      </c>
      <c r="I116" s="3">
        <v>0.29099999999999998</v>
      </c>
    </row>
    <row r="117" spans="1:9">
      <c r="A117" s="1" t="s">
        <v>343</v>
      </c>
      <c r="B117" s="1" t="s">
        <v>14</v>
      </c>
      <c r="C117" s="1">
        <v>97</v>
      </c>
      <c r="D117" s="1">
        <v>33</v>
      </c>
      <c r="E117" s="1" t="s">
        <v>15</v>
      </c>
      <c r="F117" s="1">
        <v>0.29599999999999999</v>
      </c>
      <c r="G117" s="1">
        <v>7.4489999999999998</v>
      </c>
      <c r="H117" s="1">
        <v>34.021000000000001</v>
      </c>
      <c r="I117" s="1">
        <v>0.28699999999999998</v>
      </c>
    </row>
    <row r="118" spans="1:9">
      <c r="A118" s="1" t="s">
        <v>342</v>
      </c>
      <c r="B118" s="1" t="s">
        <v>14</v>
      </c>
      <c r="C118" s="1">
        <v>102</v>
      </c>
      <c r="D118" s="1">
        <v>34</v>
      </c>
      <c r="E118" s="1" t="s">
        <v>15</v>
      </c>
      <c r="F118" s="1">
        <v>4.1000000000000002E-2</v>
      </c>
      <c r="G118" s="1">
        <v>7.6749999999999998</v>
      </c>
      <c r="H118" s="1">
        <v>33.332999999999998</v>
      </c>
      <c r="I118" s="1">
        <v>0.27200000000000002</v>
      </c>
    </row>
    <row r="119" spans="1:9">
      <c r="A119" s="1" t="s">
        <v>258</v>
      </c>
      <c r="B119" s="1" t="s">
        <v>14</v>
      </c>
      <c r="C119" s="1">
        <v>175</v>
      </c>
      <c r="D119" s="1">
        <v>58</v>
      </c>
      <c r="E119" s="1" t="s">
        <v>15</v>
      </c>
      <c r="F119" s="1">
        <v>8.5000000000000006E-2</v>
      </c>
      <c r="G119" s="1">
        <v>13.093</v>
      </c>
      <c r="H119" s="1">
        <v>33.143000000000001</v>
      </c>
      <c r="I119" s="1">
        <v>0.26800000000000002</v>
      </c>
    </row>
    <row r="120" spans="1:9">
      <c r="A120" s="1" t="s">
        <v>257</v>
      </c>
      <c r="B120" s="1" t="s">
        <v>14</v>
      </c>
      <c r="C120" s="1">
        <v>157</v>
      </c>
      <c r="D120" s="1">
        <v>52</v>
      </c>
      <c r="E120" s="1" t="s">
        <v>15</v>
      </c>
      <c r="F120" s="1">
        <v>5.1999999999999998E-2</v>
      </c>
      <c r="G120" s="1">
        <v>11.738</v>
      </c>
      <c r="H120" s="1">
        <v>33.121000000000002</v>
      </c>
      <c r="I120" s="1">
        <v>0.26700000000000002</v>
      </c>
    </row>
    <row r="121" spans="1:9">
      <c r="A121" s="1" t="s">
        <v>339</v>
      </c>
      <c r="B121" s="1" t="s">
        <v>14</v>
      </c>
      <c r="C121" s="1">
        <v>91</v>
      </c>
      <c r="D121" s="1">
        <v>30</v>
      </c>
      <c r="E121" s="1" t="s">
        <v>15</v>
      </c>
      <c r="F121" s="1">
        <v>0.129</v>
      </c>
      <c r="G121" s="1">
        <v>6.7720000000000002</v>
      </c>
      <c r="H121" s="1">
        <v>32.966999999999999</v>
      </c>
      <c r="I121" s="1">
        <v>0.26400000000000001</v>
      </c>
    </row>
    <row r="122" spans="1:9">
      <c r="A122" s="1" t="s">
        <v>256</v>
      </c>
      <c r="B122" s="1" t="s">
        <v>14</v>
      </c>
      <c r="C122" s="1">
        <v>176</v>
      </c>
      <c r="D122" s="1">
        <v>58</v>
      </c>
      <c r="E122" s="1" t="s">
        <v>15</v>
      </c>
      <c r="F122" s="1">
        <v>5.8999999999999997E-2</v>
      </c>
      <c r="G122" s="1">
        <v>13.093</v>
      </c>
      <c r="H122" s="1">
        <v>32.954999999999998</v>
      </c>
      <c r="I122" s="1">
        <v>0.26300000000000001</v>
      </c>
    </row>
    <row r="123" spans="1:9">
      <c r="A123" s="1" t="s">
        <v>255</v>
      </c>
      <c r="B123" s="1" t="s">
        <v>14</v>
      </c>
      <c r="C123" s="1">
        <v>131</v>
      </c>
      <c r="D123" s="1">
        <v>43</v>
      </c>
      <c r="E123" s="1" t="s">
        <v>15</v>
      </c>
      <c r="F123" s="1">
        <v>5.2999999999999999E-2</v>
      </c>
      <c r="G123" s="1">
        <v>9.7070000000000007</v>
      </c>
      <c r="H123" s="1">
        <v>32.823999999999998</v>
      </c>
      <c r="I123" s="1">
        <v>0.26</v>
      </c>
    </row>
    <row r="124" spans="1:9">
      <c r="A124" s="1" t="s">
        <v>336</v>
      </c>
      <c r="B124" s="1" t="s">
        <v>14</v>
      </c>
      <c r="C124" s="1">
        <v>104</v>
      </c>
      <c r="D124" s="1">
        <v>34</v>
      </c>
      <c r="E124" s="1" t="s">
        <v>15</v>
      </c>
      <c r="F124" s="1">
        <v>0.16300000000000001</v>
      </c>
      <c r="G124" s="1">
        <v>7.6749999999999998</v>
      </c>
      <c r="H124" s="1">
        <v>32.692</v>
      </c>
      <c r="I124" s="1">
        <v>0.25800000000000001</v>
      </c>
    </row>
    <row r="125" spans="1:9">
      <c r="A125" s="3" t="s">
        <v>261</v>
      </c>
      <c r="B125" s="3" t="s">
        <v>14</v>
      </c>
      <c r="C125" s="3">
        <v>51</v>
      </c>
      <c r="D125" s="3">
        <v>6</v>
      </c>
      <c r="E125" s="3" t="s">
        <v>22</v>
      </c>
      <c r="F125" s="3">
        <v>-0.126</v>
      </c>
      <c r="G125" s="3">
        <v>2.79</v>
      </c>
      <c r="H125" s="3">
        <v>88.234999999999999</v>
      </c>
      <c r="I125" s="3">
        <v>0.255</v>
      </c>
    </row>
    <row r="126" spans="1:9">
      <c r="A126" s="1" t="s">
        <v>335</v>
      </c>
      <c r="B126" s="1" t="s">
        <v>14</v>
      </c>
      <c r="C126" s="1">
        <v>84</v>
      </c>
      <c r="D126" s="1">
        <v>27</v>
      </c>
      <c r="E126" s="1" t="s">
        <v>15</v>
      </c>
      <c r="F126" s="1">
        <v>0.40100000000000002</v>
      </c>
      <c r="G126" s="1">
        <v>6.0949999999999998</v>
      </c>
      <c r="H126" s="1">
        <v>32.143000000000001</v>
      </c>
      <c r="I126" s="1">
        <v>0.245</v>
      </c>
    </row>
    <row r="127" spans="1:9">
      <c r="A127" s="3" t="s">
        <v>370</v>
      </c>
      <c r="B127" s="3" t="s">
        <v>14</v>
      </c>
      <c r="C127" s="3">
        <v>123</v>
      </c>
      <c r="D127" s="3">
        <v>15</v>
      </c>
      <c r="E127" s="3" t="s">
        <v>22</v>
      </c>
      <c r="F127" s="3">
        <v>-6.0000000000000001E-3</v>
      </c>
      <c r="G127" s="3">
        <v>6.6959999999999997</v>
      </c>
      <c r="H127" s="3">
        <v>87.805000000000007</v>
      </c>
      <c r="I127" s="3">
        <v>0.24299999999999999</v>
      </c>
    </row>
    <row r="128" spans="1:9">
      <c r="A128" s="1" t="s">
        <v>334</v>
      </c>
      <c r="B128" s="1" t="s">
        <v>14</v>
      </c>
      <c r="C128" s="1">
        <v>316</v>
      </c>
      <c r="D128" s="1">
        <v>101</v>
      </c>
      <c r="E128" s="1" t="s">
        <v>15</v>
      </c>
      <c r="F128" s="1">
        <v>2.4E-2</v>
      </c>
      <c r="G128" s="1">
        <v>22.798999999999999</v>
      </c>
      <c r="H128" s="1">
        <v>31.962</v>
      </c>
      <c r="I128" s="1">
        <v>0.24099999999999999</v>
      </c>
    </row>
    <row r="129" spans="1:9">
      <c r="A129" s="1" t="s">
        <v>254</v>
      </c>
      <c r="B129" s="1" t="s">
        <v>14</v>
      </c>
      <c r="C129" s="1">
        <v>236</v>
      </c>
      <c r="D129" s="1">
        <v>75</v>
      </c>
      <c r="E129" s="1" t="s">
        <v>15</v>
      </c>
      <c r="F129" s="1">
        <v>5.0999999999999997E-2</v>
      </c>
      <c r="G129" s="1">
        <v>16.93</v>
      </c>
      <c r="H129" s="1">
        <v>31.78</v>
      </c>
      <c r="I129" s="1">
        <v>0.23699999999999999</v>
      </c>
    </row>
    <row r="130" spans="1:9">
      <c r="A130" s="1" t="s">
        <v>332</v>
      </c>
      <c r="B130" s="1" t="s">
        <v>14</v>
      </c>
      <c r="C130" s="1">
        <v>416</v>
      </c>
      <c r="D130" s="1">
        <v>132</v>
      </c>
      <c r="E130" s="1" t="s">
        <v>15</v>
      </c>
      <c r="F130" s="1">
        <v>6.2E-2</v>
      </c>
      <c r="G130" s="1">
        <v>29.797000000000001</v>
      </c>
      <c r="H130" s="1">
        <v>31.731000000000002</v>
      </c>
      <c r="I130" s="1">
        <v>0.23599999999999999</v>
      </c>
    </row>
    <row r="131" spans="1:9">
      <c r="A131" s="1" t="s">
        <v>253</v>
      </c>
      <c r="B131" s="1" t="s">
        <v>14</v>
      </c>
      <c r="C131" s="1">
        <v>186</v>
      </c>
      <c r="D131" s="1">
        <v>59</v>
      </c>
      <c r="E131" s="1" t="s">
        <v>15</v>
      </c>
      <c r="F131" s="1">
        <v>0.11600000000000001</v>
      </c>
      <c r="G131" s="1">
        <v>13.318</v>
      </c>
      <c r="H131" s="1">
        <v>31.72</v>
      </c>
      <c r="I131" s="1">
        <v>0.23599999999999999</v>
      </c>
    </row>
    <row r="132" spans="1:9">
      <c r="A132" s="3" t="s">
        <v>375</v>
      </c>
      <c r="B132" s="3" t="s">
        <v>14</v>
      </c>
      <c r="C132" s="3">
        <v>56</v>
      </c>
      <c r="D132" s="3">
        <v>7</v>
      </c>
      <c r="E132" s="3" t="s">
        <v>22</v>
      </c>
      <c r="F132" s="3">
        <v>-7.0999999999999994E-2</v>
      </c>
      <c r="G132" s="3">
        <v>3.0379999999999998</v>
      </c>
      <c r="H132" s="3">
        <v>87.5</v>
      </c>
      <c r="I132" s="3">
        <v>0.23400000000000001</v>
      </c>
    </row>
    <row r="133" spans="1:9">
      <c r="A133" s="1" t="s">
        <v>331</v>
      </c>
      <c r="B133" s="1" t="s">
        <v>14</v>
      </c>
      <c r="C133" s="1">
        <v>165</v>
      </c>
      <c r="D133" s="1">
        <v>52</v>
      </c>
      <c r="E133" s="1" t="s">
        <v>15</v>
      </c>
      <c r="F133" s="1">
        <v>0.23100000000000001</v>
      </c>
      <c r="G133" s="1">
        <v>11.738</v>
      </c>
      <c r="H133" s="1">
        <v>31.515000000000001</v>
      </c>
      <c r="I133" s="1">
        <v>0.23100000000000001</v>
      </c>
    </row>
    <row r="134" spans="1:9">
      <c r="A134" s="1" t="s">
        <v>161</v>
      </c>
      <c r="B134" s="1" t="s">
        <v>14</v>
      </c>
      <c r="C134" s="1">
        <v>419</v>
      </c>
      <c r="D134" s="1">
        <v>132</v>
      </c>
      <c r="E134" s="1" t="s">
        <v>15</v>
      </c>
      <c r="F134" s="1">
        <v>2.8000000000000001E-2</v>
      </c>
      <c r="G134" s="1">
        <v>29.797000000000001</v>
      </c>
      <c r="H134" s="1">
        <v>31.504000000000001</v>
      </c>
      <c r="I134" s="1">
        <v>0.23100000000000001</v>
      </c>
    </row>
    <row r="135" spans="1:9">
      <c r="A135" s="3" t="s">
        <v>377</v>
      </c>
      <c r="B135" s="3" t="s">
        <v>16</v>
      </c>
      <c r="C135" s="3">
        <v>119</v>
      </c>
      <c r="D135" s="3">
        <v>15</v>
      </c>
      <c r="E135" s="3" t="s">
        <v>22</v>
      </c>
      <c r="F135" s="3">
        <v>-0.14499999999999999</v>
      </c>
      <c r="G135" s="3">
        <v>6.4480000000000004</v>
      </c>
      <c r="H135" s="3">
        <v>87.394999999999996</v>
      </c>
      <c r="I135" s="3">
        <v>0.23100000000000001</v>
      </c>
    </row>
    <row r="136" spans="1:9">
      <c r="A136" s="1" t="s">
        <v>330</v>
      </c>
      <c r="B136" s="1" t="s">
        <v>16</v>
      </c>
      <c r="C136" s="1">
        <v>35</v>
      </c>
      <c r="D136" s="1">
        <v>11</v>
      </c>
      <c r="E136" s="1" t="s">
        <v>15</v>
      </c>
      <c r="F136" s="1">
        <v>-7.9000000000000001E-2</v>
      </c>
      <c r="G136" s="1">
        <v>2.4830000000000001</v>
      </c>
      <c r="H136" s="1">
        <v>31.428999999999998</v>
      </c>
      <c r="I136" s="1">
        <v>0.22900000000000001</v>
      </c>
    </row>
    <row r="137" spans="1:9">
      <c r="A137" s="3" t="s">
        <v>263</v>
      </c>
      <c r="B137" s="3" t="s">
        <v>16</v>
      </c>
      <c r="C137" s="3">
        <v>180</v>
      </c>
      <c r="D137" s="3">
        <v>23</v>
      </c>
      <c r="E137" s="3" t="s">
        <v>22</v>
      </c>
      <c r="F137" s="3">
        <v>-8.1000000000000003E-2</v>
      </c>
      <c r="G137" s="3">
        <v>9.7330000000000005</v>
      </c>
      <c r="H137" s="3">
        <v>87.221999999999994</v>
      </c>
      <c r="I137" s="3">
        <v>0.22600000000000001</v>
      </c>
    </row>
    <row r="138" spans="1:9">
      <c r="A138" s="3" t="s">
        <v>264</v>
      </c>
      <c r="B138" s="3" t="s">
        <v>16</v>
      </c>
      <c r="C138" s="3">
        <v>180</v>
      </c>
      <c r="D138" s="3">
        <v>23</v>
      </c>
      <c r="E138" s="3" t="s">
        <v>22</v>
      </c>
      <c r="F138" s="3">
        <v>-0.23300000000000001</v>
      </c>
      <c r="G138" s="3">
        <v>9.7330000000000005</v>
      </c>
      <c r="H138" s="3">
        <v>87.221999999999994</v>
      </c>
      <c r="I138" s="3">
        <v>0.22600000000000001</v>
      </c>
    </row>
    <row r="139" spans="1:9">
      <c r="A139" s="3" t="s">
        <v>379</v>
      </c>
      <c r="B139" s="3" t="s">
        <v>16</v>
      </c>
      <c r="C139" s="3">
        <v>109</v>
      </c>
      <c r="D139" s="3">
        <v>14</v>
      </c>
      <c r="E139" s="3" t="s">
        <v>22</v>
      </c>
      <c r="F139" s="3">
        <v>-4.3999999999999997E-2</v>
      </c>
      <c r="G139" s="3">
        <v>5.89</v>
      </c>
      <c r="H139" s="3">
        <v>87.156000000000006</v>
      </c>
      <c r="I139" s="3">
        <v>0.22500000000000001</v>
      </c>
    </row>
    <row r="140" spans="1:9">
      <c r="A140" s="3" t="s">
        <v>380</v>
      </c>
      <c r="B140" s="3" t="s">
        <v>16</v>
      </c>
      <c r="C140" s="3">
        <v>23</v>
      </c>
      <c r="D140" s="3">
        <v>3</v>
      </c>
      <c r="E140" s="3" t="s">
        <v>22</v>
      </c>
      <c r="F140" s="3">
        <v>0.83099999999999996</v>
      </c>
      <c r="G140" s="3">
        <v>1.24</v>
      </c>
      <c r="H140" s="3">
        <v>86.956999999999994</v>
      </c>
      <c r="I140" s="3">
        <v>0.219</v>
      </c>
    </row>
    <row r="141" spans="1:9">
      <c r="A141" s="1" t="s">
        <v>329</v>
      </c>
      <c r="B141" s="1" t="s">
        <v>14</v>
      </c>
      <c r="C141" s="1">
        <v>191</v>
      </c>
      <c r="D141" s="1">
        <v>59</v>
      </c>
      <c r="E141" s="1" t="s">
        <v>15</v>
      </c>
      <c r="F141" s="1">
        <v>0.27200000000000002</v>
      </c>
      <c r="G141" s="1">
        <v>13.318</v>
      </c>
      <c r="H141" s="1">
        <v>30.89</v>
      </c>
      <c r="I141" s="1">
        <v>0.217</v>
      </c>
    </row>
    <row r="142" spans="1:9">
      <c r="A142" s="3" t="s">
        <v>381</v>
      </c>
      <c r="B142" s="3" t="s">
        <v>14</v>
      </c>
      <c r="C142" s="3">
        <v>151</v>
      </c>
      <c r="D142" s="3">
        <v>20</v>
      </c>
      <c r="E142" s="3" t="s">
        <v>22</v>
      </c>
      <c r="F142" s="3">
        <v>-0.318</v>
      </c>
      <c r="G142" s="3">
        <v>8.1219999999999999</v>
      </c>
      <c r="H142" s="3">
        <v>86.754999999999995</v>
      </c>
      <c r="I142" s="3">
        <v>0.214</v>
      </c>
    </row>
    <row r="143" spans="1:9">
      <c r="A143" s="1" t="s">
        <v>328</v>
      </c>
      <c r="B143" s="1" t="s">
        <v>14</v>
      </c>
      <c r="C143" s="1">
        <v>92</v>
      </c>
      <c r="D143" s="1">
        <v>28</v>
      </c>
      <c r="E143" s="1" t="s">
        <v>15</v>
      </c>
      <c r="F143" s="1">
        <v>6.2E-2</v>
      </c>
      <c r="G143" s="1">
        <v>6.3209999999999997</v>
      </c>
      <c r="H143" s="1">
        <v>30.434999999999999</v>
      </c>
      <c r="I143" s="1">
        <v>0.20699999999999999</v>
      </c>
    </row>
    <row r="144" spans="1:9">
      <c r="A144" s="3" t="s">
        <v>382</v>
      </c>
      <c r="B144" s="3" t="s">
        <v>14</v>
      </c>
      <c r="C144" s="3">
        <v>59</v>
      </c>
      <c r="D144" s="3">
        <v>8</v>
      </c>
      <c r="E144" s="3" t="s">
        <v>22</v>
      </c>
      <c r="F144" s="3">
        <v>-0.89500000000000002</v>
      </c>
      <c r="G144" s="3">
        <v>3.1619999999999999</v>
      </c>
      <c r="H144" s="3">
        <v>86.441000000000003</v>
      </c>
      <c r="I144" s="3">
        <v>0.20499999999999999</v>
      </c>
    </row>
    <row r="145" spans="1:9">
      <c r="A145" s="1" t="s">
        <v>327</v>
      </c>
      <c r="B145" s="1" t="s">
        <v>14</v>
      </c>
      <c r="C145" s="1">
        <v>291</v>
      </c>
      <c r="D145" s="1">
        <v>88</v>
      </c>
      <c r="E145" s="1" t="s">
        <v>15</v>
      </c>
      <c r="F145" s="1">
        <v>0.159</v>
      </c>
      <c r="G145" s="1">
        <v>19.864999999999998</v>
      </c>
      <c r="H145" s="1">
        <v>30.241</v>
      </c>
      <c r="I145" s="1">
        <v>0.20300000000000001</v>
      </c>
    </row>
    <row r="146" spans="1:9">
      <c r="A146" s="1" t="s">
        <v>326</v>
      </c>
      <c r="B146" s="1" t="s">
        <v>14</v>
      </c>
      <c r="C146" s="1">
        <v>173</v>
      </c>
      <c r="D146" s="1">
        <v>52</v>
      </c>
      <c r="E146" s="1" t="s">
        <v>15</v>
      </c>
      <c r="F146" s="1">
        <v>7.2999999999999995E-2</v>
      </c>
      <c r="G146" s="1">
        <v>11.738</v>
      </c>
      <c r="H146" s="1">
        <v>30.058</v>
      </c>
      <c r="I146" s="1">
        <v>0.19900000000000001</v>
      </c>
    </row>
    <row r="147" spans="1:9">
      <c r="A147" s="1" t="s">
        <v>325</v>
      </c>
      <c r="B147" s="1" t="s">
        <v>16</v>
      </c>
      <c r="C147" s="1">
        <v>57</v>
      </c>
      <c r="D147" s="1">
        <v>17</v>
      </c>
      <c r="E147" s="1" t="s">
        <v>15</v>
      </c>
      <c r="F147" s="1">
        <v>-8.7999999999999995E-2</v>
      </c>
      <c r="G147" s="1">
        <v>3.8370000000000002</v>
      </c>
      <c r="H147" s="1">
        <v>29.824999999999999</v>
      </c>
      <c r="I147" s="1">
        <v>0.193</v>
      </c>
    </row>
    <row r="148" spans="1:9">
      <c r="A148" s="1" t="s">
        <v>252</v>
      </c>
      <c r="B148" s="1" t="s">
        <v>14</v>
      </c>
      <c r="C148" s="1">
        <v>125</v>
      </c>
      <c r="D148" s="1">
        <v>37</v>
      </c>
      <c r="E148" s="1" t="s">
        <v>15</v>
      </c>
      <c r="F148" s="1">
        <v>9.8000000000000004E-2</v>
      </c>
      <c r="G148" s="1">
        <v>8.3520000000000003</v>
      </c>
      <c r="H148" s="1">
        <v>29.6</v>
      </c>
      <c r="I148" s="1">
        <v>0.188</v>
      </c>
    </row>
    <row r="149" spans="1:9">
      <c r="A149" s="3" t="s">
        <v>386</v>
      </c>
      <c r="B149" s="3" t="s">
        <v>14</v>
      </c>
      <c r="C149" s="3">
        <v>35</v>
      </c>
      <c r="D149" s="3">
        <v>5</v>
      </c>
      <c r="E149" s="3" t="s">
        <v>22</v>
      </c>
      <c r="F149" s="3">
        <v>-5.0000000000000001E-3</v>
      </c>
      <c r="G149" s="3">
        <v>1.86</v>
      </c>
      <c r="H149" s="3">
        <v>85.713999999999999</v>
      </c>
      <c r="I149" s="3">
        <v>0.185</v>
      </c>
    </row>
    <row r="150" spans="1:9">
      <c r="A150" s="1" t="s">
        <v>324</v>
      </c>
      <c r="B150" s="1" t="s">
        <v>14</v>
      </c>
      <c r="C150" s="1">
        <v>38</v>
      </c>
      <c r="D150" s="1">
        <v>11</v>
      </c>
      <c r="E150" s="1" t="s">
        <v>15</v>
      </c>
      <c r="F150" s="1">
        <v>0.19600000000000001</v>
      </c>
      <c r="G150" s="1">
        <v>2.4830000000000001</v>
      </c>
      <c r="H150" s="1">
        <v>28.946999999999999</v>
      </c>
      <c r="I150" s="1">
        <v>0.17399999999999999</v>
      </c>
    </row>
    <row r="151" spans="1:9">
      <c r="A151" s="3" t="s">
        <v>388</v>
      </c>
      <c r="B151" s="3" t="s">
        <v>14</v>
      </c>
      <c r="C151" s="3">
        <v>101</v>
      </c>
      <c r="D151" s="3">
        <v>15</v>
      </c>
      <c r="E151" s="3" t="s">
        <v>22</v>
      </c>
      <c r="F151" s="3">
        <v>-0.11600000000000001</v>
      </c>
      <c r="G151" s="3">
        <v>5.3319999999999999</v>
      </c>
      <c r="H151" s="3">
        <v>85.149000000000001</v>
      </c>
      <c r="I151" s="3">
        <v>0.17</v>
      </c>
    </row>
    <row r="152" spans="1:9">
      <c r="A152" s="1" t="s">
        <v>323</v>
      </c>
      <c r="B152" s="1" t="s">
        <v>14</v>
      </c>
      <c r="C152" s="1">
        <v>108</v>
      </c>
      <c r="D152" s="1">
        <v>31</v>
      </c>
      <c r="E152" s="1" t="s">
        <v>15</v>
      </c>
      <c r="F152" s="1">
        <v>-0.153</v>
      </c>
      <c r="G152" s="1">
        <v>6.9980000000000002</v>
      </c>
      <c r="H152" s="1">
        <v>28.704000000000001</v>
      </c>
      <c r="I152" s="1">
        <v>0.16800000000000001</v>
      </c>
    </row>
    <row r="153" spans="1:9">
      <c r="A153" s="1" t="s">
        <v>322</v>
      </c>
      <c r="B153" s="1" t="s">
        <v>14</v>
      </c>
      <c r="C153" s="1">
        <v>154</v>
      </c>
      <c r="D153" s="1">
        <v>44</v>
      </c>
      <c r="E153" s="1" t="s">
        <v>15</v>
      </c>
      <c r="F153" s="1">
        <v>0.34699999999999998</v>
      </c>
      <c r="G153" s="1">
        <v>9.9320000000000004</v>
      </c>
      <c r="H153" s="1">
        <v>28.571000000000002</v>
      </c>
      <c r="I153" s="1">
        <v>0.16500000000000001</v>
      </c>
    </row>
    <row r="154" spans="1:9">
      <c r="A154" s="1" t="s">
        <v>319</v>
      </c>
      <c r="B154" s="1" t="s">
        <v>16</v>
      </c>
      <c r="C154" s="1">
        <v>171</v>
      </c>
      <c r="D154" s="1">
        <v>48</v>
      </c>
      <c r="E154" s="1" t="s">
        <v>15</v>
      </c>
      <c r="F154" s="1">
        <v>7.0000000000000001E-3</v>
      </c>
      <c r="G154" s="1">
        <v>10.835000000000001</v>
      </c>
      <c r="H154" s="1">
        <v>28.07</v>
      </c>
      <c r="I154" s="1">
        <v>0.154</v>
      </c>
    </row>
    <row r="155" spans="1:9">
      <c r="A155" s="1" t="s">
        <v>320</v>
      </c>
      <c r="B155" s="1" t="s">
        <v>16</v>
      </c>
      <c r="C155" s="1">
        <v>171</v>
      </c>
      <c r="D155" s="1">
        <v>48</v>
      </c>
      <c r="E155" s="1" t="s">
        <v>15</v>
      </c>
      <c r="F155" s="1">
        <v>3.2000000000000001E-2</v>
      </c>
      <c r="G155" s="1">
        <v>10.835000000000001</v>
      </c>
      <c r="H155" s="1">
        <v>28.07</v>
      </c>
      <c r="I155" s="1">
        <v>0.154</v>
      </c>
    </row>
    <row r="156" spans="1:9">
      <c r="A156" s="3" t="s">
        <v>392</v>
      </c>
      <c r="B156" s="3" t="s">
        <v>16</v>
      </c>
      <c r="C156" s="3">
        <v>241</v>
      </c>
      <c r="D156" s="3">
        <v>38</v>
      </c>
      <c r="E156" s="3" t="s">
        <v>22</v>
      </c>
      <c r="F156" s="3">
        <v>-6.9000000000000006E-2</v>
      </c>
      <c r="G156" s="3">
        <v>12.585000000000001</v>
      </c>
      <c r="H156" s="3">
        <v>84.231999999999999</v>
      </c>
      <c r="I156" s="3">
        <v>0.14599999999999999</v>
      </c>
    </row>
    <row r="157" spans="1:9">
      <c r="A157" s="3" t="s">
        <v>393</v>
      </c>
      <c r="B157" s="3" t="s">
        <v>16</v>
      </c>
      <c r="C157" s="3">
        <v>63</v>
      </c>
      <c r="D157" s="3">
        <v>10</v>
      </c>
      <c r="E157" s="3" t="s">
        <v>22</v>
      </c>
      <c r="F157" s="3">
        <v>-1.2E-2</v>
      </c>
      <c r="G157" s="3">
        <v>3.286</v>
      </c>
      <c r="H157" s="3">
        <v>84.126999999999995</v>
      </c>
      <c r="I157" s="3">
        <v>0.14299999999999999</v>
      </c>
    </row>
    <row r="158" spans="1:9">
      <c r="A158" s="1" t="s">
        <v>251</v>
      </c>
      <c r="B158" s="1" t="s">
        <v>14</v>
      </c>
      <c r="C158" s="1">
        <v>194</v>
      </c>
      <c r="D158" s="1">
        <v>53</v>
      </c>
      <c r="E158" s="1" t="s">
        <v>15</v>
      </c>
      <c r="F158" s="1">
        <v>6.5000000000000002E-2</v>
      </c>
      <c r="G158" s="1">
        <v>11.964</v>
      </c>
      <c r="H158" s="1">
        <v>27.32</v>
      </c>
      <c r="I158" s="1">
        <v>0.13600000000000001</v>
      </c>
    </row>
    <row r="159" spans="1:9">
      <c r="A159" s="1" t="s">
        <v>317</v>
      </c>
      <c r="B159" s="1" t="s">
        <v>14</v>
      </c>
      <c r="C159" s="1">
        <v>121</v>
      </c>
      <c r="D159" s="1">
        <v>33</v>
      </c>
      <c r="E159" s="1" t="s">
        <v>15</v>
      </c>
      <c r="F159" s="1">
        <v>2.7E-2</v>
      </c>
      <c r="G159" s="1">
        <v>7.4489999999999998</v>
      </c>
      <c r="H159" s="1">
        <v>27.273</v>
      </c>
      <c r="I159" s="1">
        <v>0.13500000000000001</v>
      </c>
    </row>
    <row r="160" spans="1:9">
      <c r="A160" s="1" t="s">
        <v>318</v>
      </c>
      <c r="B160" s="1" t="s">
        <v>14</v>
      </c>
      <c r="C160" s="1">
        <v>44</v>
      </c>
      <c r="D160" s="1">
        <v>12</v>
      </c>
      <c r="E160" s="1" t="s">
        <v>15</v>
      </c>
      <c r="F160" s="1">
        <v>5.0999999999999997E-2</v>
      </c>
      <c r="G160" s="1">
        <v>2.7090000000000001</v>
      </c>
      <c r="H160" s="1">
        <v>27.273</v>
      </c>
      <c r="I160" s="1">
        <v>0.13500000000000001</v>
      </c>
    </row>
    <row r="161" spans="1:9">
      <c r="A161" s="1" t="s">
        <v>316</v>
      </c>
      <c r="B161" s="1" t="s">
        <v>16</v>
      </c>
      <c r="C161" s="1">
        <v>70</v>
      </c>
      <c r="D161" s="1">
        <v>19</v>
      </c>
      <c r="E161" s="1" t="s">
        <v>15</v>
      </c>
      <c r="F161" s="1">
        <v>0.48599999999999999</v>
      </c>
      <c r="G161" s="1">
        <v>4.2889999999999997</v>
      </c>
      <c r="H161" s="1">
        <v>27.143000000000001</v>
      </c>
      <c r="I161" s="1">
        <v>0.13200000000000001</v>
      </c>
    </row>
    <row r="162" spans="1:9">
      <c r="A162" s="1" t="s">
        <v>315</v>
      </c>
      <c r="B162" s="1" t="s">
        <v>14</v>
      </c>
      <c r="C162" s="1">
        <v>384</v>
      </c>
      <c r="D162" s="1">
        <v>104</v>
      </c>
      <c r="E162" s="1" t="s">
        <v>15</v>
      </c>
      <c r="F162" s="1">
        <v>4.7E-2</v>
      </c>
      <c r="G162" s="1">
        <v>23.475999999999999</v>
      </c>
      <c r="H162" s="1">
        <v>27.082999999999998</v>
      </c>
      <c r="I162" s="1">
        <v>0.13100000000000001</v>
      </c>
    </row>
    <row r="163" spans="1:9">
      <c r="A163" s="3" t="s">
        <v>399</v>
      </c>
      <c r="B163" s="3" t="s">
        <v>14</v>
      </c>
      <c r="C163" s="3">
        <v>61</v>
      </c>
      <c r="D163" s="3">
        <v>10</v>
      </c>
      <c r="E163" s="3" t="s">
        <v>22</v>
      </c>
      <c r="F163" s="3">
        <v>-0.61199999999999999</v>
      </c>
      <c r="G163" s="3">
        <v>3.1619999999999999</v>
      </c>
      <c r="H163" s="3">
        <v>83.606999999999999</v>
      </c>
      <c r="I163" s="3">
        <v>0.129</v>
      </c>
    </row>
    <row r="164" spans="1:9">
      <c r="A164" s="1" t="s">
        <v>314</v>
      </c>
      <c r="B164" s="1" t="s">
        <v>16</v>
      </c>
      <c r="C164" s="1">
        <v>78</v>
      </c>
      <c r="D164" s="1">
        <v>21</v>
      </c>
      <c r="E164" s="1" t="s">
        <v>15</v>
      </c>
      <c r="F164" s="1">
        <v>9.8000000000000004E-2</v>
      </c>
      <c r="G164" s="1">
        <v>4.74</v>
      </c>
      <c r="H164" s="1">
        <v>26.922999999999998</v>
      </c>
      <c r="I164" s="1">
        <v>0.127</v>
      </c>
    </row>
    <row r="165" spans="1:9">
      <c r="A165" s="3" t="s">
        <v>401</v>
      </c>
      <c r="B165" s="3" t="s">
        <v>16</v>
      </c>
      <c r="C165" s="3">
        <v>199</v>
      </c>
      <c r="D165" s="3">
        <v>33</v>
      </c>
      <c r="E165" s="3" t="s">
        <v>22</v>
      </c>
      <c r="F165" s="3">
        <v>-8.3000000000000004E-2</v>
      </c>
      <c r="G165" s="3">
        <v>10.291</v>
      </c>
      <c r="H165" s="3">
        <v>83.417000000000002</v>
      </c>
      <c r="I165" s="3">
        <v>0.125</v>
      </c>
    </row>
    <row r="166" spans="1:9">
      <c r="A166" s="1" t="s">
        <v>313</v>
      </c>
      <c r="B166" s="1" t="s">
        <v>14</v>
      </c>
      <c r="C166" s="1">
        <v>30</v>
      </c>
      <c r="D166" s="1">
        <v>8</v>
      </c>
      <c r="E166" s="1" t="s">
        <v>15</v>
      </c>
      <c r="F166" s="1">
        <v>-0.17399999999999999</v>
      </c>
      <c r="G166" s="1">
        <v>1.806</v>
      </c>
      <c r="H166" s="1">
        <v>26.667000000000002</v>
      </c>
      <c r="I166" s="1">
        <v>0.121</v>
      </c>
    </row>
    <row r="167" spans="1:9">
      <c r="A167" s="1" t="s">
        <v>312</v>
      </c>
      <c r="B167" s="1" t="s">
        <v>14</v>
      </c>
      <c r="C167" s="1">
        <v>169</v>
      </c>
      <c r="D167" s="1">
        <v>45</v>
      </c>
      <c r="E167" s="1" t="s">
        <v>15</v>
      </c>
      <c r="F167" s="1">
        <v>7.8E-2</v>
      </c>
      <c r="G167" s="1">
        <v>10.157999999999999</v>
      </c>
      <c r="H167" s="1">
        <v>26.626999999999999</v>
      </c>
      <c r="I167" s="1">
        <v>0.12</v>
      </c>
    </row>
    <row r="168" spans="1:9">
      <c r="A168" s="3" t="s">
        <v>404</v>
      </c>
      <c r="B168" s="3" t="s">
        <v>14</v>
      </c>
      <c r="C168" s="3">
        <v>155</v>
      </c>
      <c r="D168" s="3">
        <v>26</v>
      </c>
      <c r="E168" s="3" t="s">
        <v>22</v>
      </c>
      <c r="F168" s="3">
        <v>0.155</v>
      </c>
      <c r="G168" s="3">
        <v>7.9980000000000002</v>
      </c>
      <c r="H168" s="3">
        <v>83.225999999999999</v>
      </c>
      <c r="I168" s="3">
        <v>0.12</v>
      </c>
    </row>
    <row r="169" spans="1:9">
      <c r="A169" s="3" t="s">
        <v>405</v>
      </c>
      <c r="B169" s="3" t="s">
        <v>14</v>
      </c>
      <c r="C169" s="3">
        <v>130</v>
      </c>
      <c r="D169" s="3">
        <v>22</v>
      </c>
      <c r="E169" s="3" t="s">
        <v>22</v>
      </c>
      <c r="F169" s="3">
        <v>-0.151</v>
      </c>
      <c r="G169" s="3">
        <v>6.6959999999999997</v>
      </c>
      <c r="H169" s="3">
        <v>83.076999999999998</v>
      </c>
      <c r="I169" s="3">
        <v>0.11600000000000001</v>
      </c>
    </row>
    <row r="170" spans="1:9">
      <c r="A170" s="1" t="s">
        <v>311</v>
      </c>
      <c r="B170" s="1" t="s">
        <v>14</v>
      </c>
      <c r="C170" s="1">
        <v>126</v>
      </c>
      <c r="D170" s="1">
        <v>33</v>
      </c>
      <c r="E170" s="1" t="s">
        <v>15</v>
      </c>
      <c r="F170" s="1">
        <v>0.34100000000000003</v>
      </c>
      <c r="G170" s="1">
        <v>7.4489999999999998</v>
      </c>
      <c r="H170" s="1">
        <v>26.19</v>
      </c>
      <c r="I170" s="1">
        <v>0.11</v>
      </c>
    </row>
    <row r="171" spans="1:9">
      <c r="A171" s="3" t="s">
        <v>407</v>
      </c>
      <c r="B171" s="3" t="s">
        <v>16</v>
      </c>
      <c r="C171" s="3">
        <v>291</v>
      </c>
      <c r="D171" s="3">
        <v>50</v>
      </c>
      <c r="E171" s="3" t="s">
        <v>22</v>
      </c>
      <c r="F171" s="3">
        <v>-0.1</v>
      </c>
      <c r="G171" s="3">
        <v>14.941000000000001</v>
      </c>
      <c r="H171" s="3">
        <v>82.817999999999998</v>
      </c>
      <c r="I171" s="3">
        <v>0.109</v>
      </c>
    </row>
    <row r="172" spans="1:9">
      <c r="A172" s="3" t="s">
        <v>408</v>
      </c>
      <c r="B172" s="3" t="s">
        <v>14</v>
      </c>
      <c r="C172" s="3">
        <v>93</v>
      </c>
      <c r="D172" s="3">
        <v>16</v>
      </c>
      <c r="E172" s="3" t="s">
        <v>22</v>
      </c>
      <c r="F172" s="3">
        <v>-0.108</v>
      </c>
      <c r="G172" s="3">
        <v>4.774</v>
      </c>
      <c r="H172" s="3">
        <v>82.796000000000006</v>
      </c>
      <c r="I172" s="3">
        <v>0.108</v>
      </c>
    </row>
    <row r="173" spans="1:9">
      <c r="A173" s="3" t="s">
        <v>409</v>
      </c>
      <c r="B173" s="3" t="s">
        <v>16</v>
      </c>
      <c r="C173" s="3">
        <v>219</v>
      </c>
      <c r="D173" s="3">
        <v>38</v>
      </c>
      <c r="E173" s="3" t="s">
        <v>22</v>
      </c>
      <c r="F173" s="3">
        <v>-1.7000000000000001E-2</v>
      </c>
      <c r="G173" s="3">
        <v>11.221</v>
      </c>
      <c r="H173" s="3">
        <v>82.647999999999996</v>
      </c>
      <c r="I173" s="3">
        <v>0.105</v>
      </c>
    </row>
    <row r="174" spans="1:9">
      <c r="A174" s="3" t="s">
        <v>410</v>
      </c>
      <c r="B174" s="3" t="s">
        <v>14</v>
      </c>
      <c r="C174" s="3">
        <v>86</v>
      </c>
      <c r="D174" s="3">
        <v>15</v>
      </c>
      <c r="E174" s="3" t="s">
        <v>22</v>
      </c>
      <c r="F174" s="3">
        <v>0.254</v>
      </c>
      <c r="G174" s="3">
        <v>4.4020000000000001</v>
      </c>
      <c r="H174" s="3">
        <v>82.558000000000007</v>
      </c>
      <c r="I174" s="3">
        <v>0.10199999999999999</v>
      </c>
    </row>
    <row r="175" spans="1:9">
      <c r="A175" s="1" t="s">
        <v>309</v>
      </c>
      <c r="B175" s="1" t="s">
        <v>16</v>
      </c>
      <c r="C175" s="1">
        <v>155</v>
      </c>
      <c r="D175" s="1">
        <v>40</v>
      </c>
      <c r="E175" s="1" t="s">
        <v>15</v>
      </c>
      <c r="F175" s="1">
        <v>7.0000000000000007E-2</v>
      </c>
      <c r="G175" s="1">
        <v>9.0289999999999999</v>
      </c>
      <c r="H175" s="1">
        <v>25.806000000000001</v>
      </c>
      <c r="I175" s="1">
        <v>0.10100000000000001</v>
      </c>
    </row>
    <row r="176" spans="1:9">
      <c r="A176" s="1" t="s">
        <v>310</v>
      </c>
      <c r="B176" s="1" t="s">
        <v>14</v>
      </c>
      <c r="C176" s="1">
        <v>31</v>
      </c>
      <c r="D176" s="1">
        <v>8</v>
      </c>
      <c r="E176" s="1" t="s">
        <v>15</v>
      </c>
      <c r="F176" s="1">
        <v>-0.14699999999999999</v>
      </c>
      <c r="G176" s="1">
        <v>1.806</v>
      </c>
      <c r="H176" s="1">
        <v>25.806000000000001</v>
      </c>
      <c r="I176" s="1">
        <v>0.10100000000000001</v>
      </c>
    </row>
    <row r="177" spans="1:9">
      <c r="A177" s="1" t="s">
        <v>307</v>
      </c>
      <c r="B177" s="1" t="s">
        <v>14</v>
      </c>
      <c r="C177" s="1">
        <v>105</v>
      </c>
      <c r="D177" s="1">
        <v>27</v>
      </c>
      <c r="E177" s="1" t="s">
        <v>15</v>
      </c>
      <c r="F177" s="1">
        <v>-0.189</v>
      </c>
      <c r="G177" s="1">
        <v>6.0949999999999998</v>
      </c>
      <c r="H177" s="1">
        <v>25.713999999999999</v>
      </c>
      <c r="I177" s="1">
        <v>9.9000000000000005E-2</v>
      </c>
    </row>
    <row r="178" spans="1:9">
      <c r="A178" s="1" t="s">
        <v>308</v>
      </c>
      <c r="B178" s="1" t="s">
        <v>14</v>
      </c>
      <c r="C178" s="1">
        <v>288</v>
      </c>
      <c r="D178" s="1">
        <v>74</v>
      </c>
      <c r="E178" s="1" t="s">
        <v>15</v>
      </c>
      <c r="F178" s="1">
        <v>2.1999999999999999E-2</v>
      </c>
      <c r="G178" s="1">
        <v>16.704000000000001</v>
      </c>
      <c r="H178" s="1">
        <v>25.693999999999999</v>
      </c>
      <c r="I178" s="1">
        <v>9.9000000000000005E-2</v>
      </c>
    </row>
    <row r="179" spans="1:9">
      <c r="A179" s="1" t="s">
        <v>250</v>
      </c>
      <c r="B179" s="1" t="s">
        <v>14</v>
      </c>
      <c r="C179" s="1">
        <v>290</v>
      </c>
      <c r="D179" s="1">
        <v>74</v>
      </c>
      <c r="E179" s="1" t="s">
        <v>15</v>
      </c>
      <c r="F179" s="1">
        <v>0.08</v>
      </c>
      <c r="G179" s="1">
        <v>16.704000000000001</v>
      </c>
      <c r="H179" s="1">
        <v>25.516999999999999</v>
      </c>
      <c r="I179" s="1">
        <v>9.5000000000000001E-2</v>
      </c>
    </row>
    <row r="180" spans="1:9">
      <c r="A180" s="3" t="s">
        <v>416</v>
      </c>
      <c r="B180" s="3" t="s">
        <v>14</v>
      </c>
      <c r="C180" s="3">
        <v>45</v>
      </c>
      <c r="D180" s="3">
        <v>8</v>
      </c>
      <c r="E180" s="3" t="s">
        <v>22</v>
      </c>
      <c r="F180" s="3">
        <v>-0.56399999999999995</v>
      </c>
      <c r="G180" s="3">
        <v>2.294</v>
      </c>
      <c r="H180" s="3">
        <v>82.221999999999994</v>
      </c>
      <c r="I180" s="3">
        <v>9.4E-2</v>
      </c>
    </row>
    <row r="181" spans="1:9">
      <c r="A181" s="1" t="s">
        <v>306</v>
      </c>
      <c r="B181" s="1" t="s">
        <v>14</v>
      </c>
      <c r="C181" s="1">
        <v>173</v>
      </c>
      <c r="D181" s="1">
        <v>44</v>
      </c>
      <c r="E181" s="1" t="s">
        <v>15</v>
      </c>
      <c r="F181" s="1">
        <v>8.8999999999999996E-2</v>
      </c>
      <c r="G181" s="1">
        <v>9.9320000000000004</v>
      </c>
      <c r="H181" s="1">
        <v>25.434000000000001</v>
      </c>
      <c r="I181" s="1">
        <v>9.2999999999999999E-2</v>
      </c>
    </row>
    <row r="182" spans="1:9">
      <c r="A182" s="1" t="s">
        <v>305</v>
      </c>
      <c r="B182" s="1" t="s">
        <v>14</v>
      </c>
      <c r="C182" s="1">
        <v>500</v>
      </c>
      <c r="D182" s="1">
        <v>127</v>
      </c>
      <c r="E182" s="1" t="s">
        <v>15</v>
      </c>
      <c r="F182" s="1">
        <v>0.26200000000000001</v>
      </c>
      <c r="G182" s="1">
        <v>28.667999999999999</v>
      </c>
      <c r="H182" s="1">
        <v>25.4</v>
      </c>
      <c r="I182" s="1">
        <v>9.1999999999999998E-2</v>
      </c>
    </row>
    <row r="183" spans="1:9">
      <c r="A183" s="3" t="s">
        <v>417</v>
      </c>
      <c r="B183" s="3" t="s">
        <v>14</v>
      </c>
      <c r="C183" s="3">
        <v>241</v>
      </c>
      <c r="D183" s="3">
        <v>43</v>
      </c>
      <c r="E183" s="3" t="s">
        <v>22</v>
      </c>
      <c r="F183" s="3">
        <v>-1.2E-2</v>
      </c>
      <c r="G183" s="3">
        <v>12.275</v>
      </c>
      <c r="H183" s="3">
        <v>82.158000000000001</v>
      </c>
      <c r="I183" s="3">
        <v>9.1999999999999998E-2</v>
      </c>
    </row>
    <row r="184" spans="1:9">
      <c r="A184" s="1" t="s">
        <v>303</v>
      </c>
      <c r="B184" s="1" t="s">
        <v>14</v>
      </c>
      <c r="C184" s="1">
        <v>134</v>
      </c>
      <c r="D184" s="1">
        <v>34</v>
      </c>
      <c r="E184" s="1" t="s">
        <v>15</v>
      </c>
      <c r="F184" s="1">
        <v>4.2999999999999997E-2</v>
      </c>
      <c r="G184" s="1">
        <v>7.6749999999999998</v>
      </c>
      <c r="H184" s="1">
        <v>25.373000000000001</v>
      </c>
      <c r="I184" s="1">
        <v>9.0999999999999998E-2</v>
      </c>
    </row>
    <row r="185" spans="1:9">
      <c r="A185" s="1" t="s">
        <v>304</v>
      </c>
      <c r="B185" s="1" t="s">
        <v>14</v>
      </c>
      <c r="C185" s="1">
        <v>209</v>
      </c>
      <c r="D185" s="1">
        <v>53</v>
      </c>
      <c r="E185" s="1" t="s">
        <v>15</v>
      </c>
      <c r="F185" s="1">
        <v>9.6000000000000002E-2</v>
      </c>
      <c r="G185" s="1">
        <v>11.964</v>
      </c>
      <c r="H185" s="1">
        <v>25.359000000000002</v>
      </c>
      <c r="I185" s="1">
        <v>9.0999999999999998E-2</v>
      </c>
    </row>
    <row r="186" spans="1:9">
      <c r="A186" s="1" t="s">
        <v>302</v>
      </c>
      <c r="B186" s="1" t="s">
        <v>14</v>
      </c>
      <c r="C186" s="1">
        <v>368</v>
      </c>
      <c r="D186" s="1">
        <v>93</v>
      </c>
      <c r="E186" s="1" t="s">
        <v>15</v>
      </c>
      <c r="F186" s="1">
        <v>0.22800000000000001</v>
      </c>
      <c r="G186" s="1">
        <v>20.992999999999999</v>
      </c>
      <c r="H186" s="1">
        <v>25.271999999999998</v>
      </c>
      <c r="I186" s="1">
        <v>8.8999999999999996E-2</v>
      </c>
    </row>
    <row r="187" spans="1:9">
      <c r="A187" s="1" t="s">
        <v>301</v>
      </c>
      <c r="B187" s="1" t="s">
        <v>16</v>
      </c>
      <c r="C187" s="1">
        <v>258</v>
      </c>
      <c r="D187" s="1">
        <v>65</v>
      </c>
      <c r="E187" s="1" t="s">
        <v>15</v>
      </c>
      <c r="F187" s="1">
        <v>0.16200000000000001</v>
      </c>
      <c r="G187" s="1">
        <v>14.673</v>
      </c>
      <c r="H187" s="1">
        <v>25.193999999999999</v>
      </c>
      <c r="I187" s="1">
        <v>8.6999999999999994E-2</v>
      </c>
    </row>
    <row r="188" spans="1:9">
      <c r="A188" s="1" t="s">
        <v>300</v>
      </c>
      <c r="B188" s="1" t="s">
        <v>14</v>
      </c>
      <c r="C188" s="1">
        <v>954</v>
      </c>
      <c r="D188" s="1">
        <v>240</v>
      </c>
      <c r="E188" s="1" t="s">
        <v>15</v>
      </c>
      <c r="F188" s="1">
        <v>4.1000000000000002E-2</v>
      </c>
      <c r="G188" s="1">
        <v>54.176000000000002</v>
      </c>
      <c r="H188" s="1">
        <v>25.157</v>
      </c>
      <c r="I188" s="1">
        <v>8.5999999999999993E-2</v>
      </c>
    </row>
    <row r="189" spans="1:9">
      <c r="A189" s="1" t="s">
        <v>299</v>
      </c>
      <c r="B189" s="1" t="s">
        <v>16</v>
      </c>
      <c r="C189" s="1">
        <v>259</v>
      </c>
      <c r="D189" s="1">
        <v>65</v>
      </c>
      <c r="E189" s="1" t="s">
        <v>15</v>
      </c>
      <c r="F189" s="1">
        <v>0.03</v>
      </c>
      <c r="G189" s="1">
        <v>14.673</v>
      </c>
      <c r="H189" s="1">
        <v>25.097000000000001</v>
      </c>
      <c r="I189" s="1">
        <v>8.5000000000000006E-2</v>
      </c>
    </row>
    <row r="190" spans="1:9">
      <c r="A190" s="3" t="s">
        <v>424</v>
      </c>
      <c r="B190" s="3" t="s">
        <v>14</v>
      </c>
      <c r="C190" s="3">
        <v>193</v>
      </c>
      <c r="D190" s="3">
        <v>35</v>
      </c>
      <c r="E190" s="3" t="s">
        <v>22</v>
      </c>
      <c r="F190" s="3">
        <v>-6.4000000000000001E-2</v>
      </c>
      <c r="G190" s="3">
        <v>9.7949999999999999</v>
      </c>
      <c r="H190" s="3">
        <v>81.864999999999995</v>
      </c>
      <c r="I190" s="3">
        <v>8.5000000000000006E-2</v>
      </c>
    </row>
    <row r="191" spans="1:9">
      <c r="A191" s="1" t="s">
        <v>298</v>
      </c>
      <c r="B191" s="1" t="s">
        <v>14</v>
      </c>
      <c r="C191" s="1">
        <v>335</v>
      </c>
      <c r="D191" s="1">
        <v>84</v>
      </c>
      <c r="E191" s="1" t="s">
        <v>15</v>
      </c>
      <c r="F191" s="1">
        <v>1.0999999999999999E-2</v>
      </c>
      <c r="G191" s="1">
        <v>18.962</v>
      </c>
      <c r="H191" s="1">
        <v>25.074999999999999</v>
      </c>
      <c r="I191" s="1">
        <v>8.4000000000000005E-2</v>
      </c>
    </row>
    <row r="192" spans="1:9">
      <c r="A192" s="3" t="s">
        <v>426</v>
      </c>
      <c r="B192" s="3" t="s">
        <v>14</v>
      </c>
      <c r="C192" s="3">
        <v>237</v>
      </c>
      <c r="D192" s="3">
        <v>43</v>
      </c>
      <c r="E192" s="3" t="s">
        <v>22</v>
      </c>
      <c r="F192" s="3">
        <v>-5.6000000000000001E-2</v>
      </c>
      <c r="G192" s="3">
        <v>12.026999999999999</v>
      </c>
      <c r="H192" s="3">
        <v>81.856999999999999</v>
      </c>
      <c r="I192" s="3">
        <v>8.4000000000000005E-2</v>
      </c>
    </row>
    <row r="193" spans="1:9">
      <c r="A193" s="3" t="s">
        <v>427</v>
      </c>
      <c r="B193" s="3" t="s">
        <v>14</v>
      </c>
      <c r="C193" s="3">
        <v>249</v>
      </c>
      <c r="D193" s="3">
        <v>46</v>
      </c>
      <c r="E193" s="3" t="s">
        <v>22</v>
      </c>
      <c r="F193" s="3">
        <v>-9.2999999999999999E-2</v>
      </c>
      <c r="G193" s="3">
        <v>12.585000000000001</v>
      </c>
      <c r="H193" s="3">
        <v>81.525999999999996</v>
      </c>
      <c r="I193" s="3">
        <v>7.5999999999999998E-2</v>
      </c>
    </row>
    <row r="194" spans="1:9">
      <c r="A194" s="3" t="s">
        <v>428</v>
      </c>
      <c r="B194" s="3" t="s">
        <v>14</v>
      </c>
      <c r="C194" s="3">
        <v>748</v>
      </c>
      <c r="D194" s="3">
        <v>139</v>
      </c>
      <c r="E194" s="3" t="s">
        <v>22</v>
      </c>
      <c r="F194" s="3">
        <v>-4.0000000000000001E-3</v>
      </c>
      <c r="G194" s="3">
        <v>37.756</v>
      </c>
      <c r="H194" s="3">
        <v>81.417000000000002</v>
      </c>
      <c r="I194" s="3">
        <v>7.2999999999999995E-2</v>
      </c>
    </row>
    <row r="195" spans="1:9">
      <c r="A195" s="3" t="s">
        <v>429</v>
      </c>
      <c r="B195" s="3" t="s">
        <v>14</v>
      </c>
      <c r="C195" s="3">
        <v>269</v>
      </c>
      <c r="D195" s="3">
        <v>50</v>
      </c>
      <c r="E195" s="3" t="s">
        <v>22</v>
      </c>
      <c r="F195" s="3">
        <v>-0.19400000000000001</v>
      </c>
      <c r="G195" s="3">
        <v>13.577</v>
      </c>
      <c r="H195" s="3">
        <v>81.412999999999997</v>
      </c>
      <c r="I195" s="3">
        <v>7.2999999999999995E-2</v>
      </c>
    </row>
    <row r="196" spans="1:9">
      <c r="A196" s="1" t="s">
        <v>297</v>
      </c>
      <c r="B196" s="1" t="s">
        <v>16</v>
      </c>
      <c r="C196" s="1">
        <v>208</v>
      </c>
      <c r="D196" s="1">
        <v>51</v>
      </c>
      <c r="E196" s="1" t="s">
        <v>15</v>
      </c>
      <c r="F196" s="1">
        <v>0.04</v>
      </c>
      <c r="G196" s="1">
        <v>11.512</v>
      </c>
      <c r="H196" s="1">
        <v>24.518999999999998</v>
      </c>
      <c r="I196" s="1">
        <v>7.0999999999999994E-2</v>
      </c>
    </row>
    <row r="197" spans="1:9">
      <c r="A197" s="3" t="s">
        <v>431</v>
      </c>
      <c r="B197" s="3" t="s">
        <v>14</v>
      </c>
      <c r="C197" s="3">
        <v>300</v>
      </c>
      <c r="D197" s="3">
        <v>56</v>
      </c>
      <c r="E197" s="3" t="s">
        <v>22</v>
      </c>
      <c r="F197" s="3">
        <v>-1.9E-2</v>
      </c>
      <c r="G197" s="3">
        <v>15.127000000000001</v>
      </c>
      <c r="H197" s="3">
        <v>81.332999999999998</v>
      </c>
      <c r="I197" s="3">
        <v>7.0999999999999994E-2</v>
      </c>
    </row>
    <row r="198" spans="1:9">
      <c r="A198" s="3" t="s">
        <v>432</v>
      </c>
      <c r="B198" s="3" t="s">
        <v>16</v>
      </c>
      <c r="C198" s="3">
        <v>75</v>
      </c>
      <c r="D198" s="3">
        <v>14</v>
      </c>
      <c r="E198" s="3" t="s">
        <v>22</v>
      </c>
      <c r="F198" s="3">
        <v>-3.5000000000000003E-2</v>
      </c>
      <c r="G198" s="3">
        <v>3.782</v>
      </c>
      <c r="H198" s="3">
        <v>81.332999999999998</v>
      </c>
      <c r="I198" s="3">
        <v>7.0999999999999994E-2</v>
      </c>
    </row>
    <row r="199" spans="1:9">
      <c r="A199" s="1" t="s">
        <v>294</v>
      </c>
      <c r="B199" s="1" t="s">
        <v>14</v>
      </c>
      <c r="C199" s="1">
        <v>45</v>
      </c>
      <c r="D199" s="1">
        <v>11</v>
      </c>
      <c r="E199" s="1" t="s">
        <v>15</v>
      </c>
      <c r="F199" s="1">
        <v>0.157</v>
      </c>
      <c r="G199" s="1">
        <v>2.4830000000000001</v>
      </c>
      <c r="H199" s="1">
        <v>24.443999999999999</v>
      </c>
      <c r="I199" s="1">
        <v>6.9000000000000006E-2</v>
      </c>
    </row>
    <row r="200" spans="1:9">
      <c r="A200" s="1" t="s">
        <v>295</v>
      </c>
      <c r="B200" s="1" t="s">
        <v>14</v>
      </c>
      <c r="C200" s="1">
        <v>90</v>
      </c>
      <c r="D200" s="1">
        <v>22</v>
      </c>
      <c r="E200" s="1" t="s">
        <v>15</v>
      </c>
      <c r="F200" s="1">
        <v>0.23200000000000001</v>
      </c>
      <c r="G200" s="1">
        <v>4.9660000000000002</v>
      </c>
      <c r="H200" s="1">
        <v>24.443999999999999</v>
      </c>
      <c r="I200" s="1">
        <v>6.9000000000000006E-2</v>
      </c>
    </row>
    <row r="201" spans="1:9">
      <c r="A201" s="1" t="s">
        <v>296</v>
      </c>
      <c r="B201" s="1" t="s">
        <v>14</v>
      </c>
      <c r="C201" s="1">
        <v>176</v>
      </c>
      <c r="D201" s="1">
        <v>43</v>
      </c>
      <c r="E201" s="1" t="s">
        <v>15</v>
      </c>
      <c r="F201" s="1">
        <v>7.5999999999999998E-2</v>
      </c>
      <c r="G201" s="1">
        <v>9.7070000000000007</v>
      </c>
      <c r="H201" s="1">
        <v>24.431999999999999</v>
      </c>
      <c r="I201" s="1">
        <v>6.9000000000000006E-2</v>
      </c>
    </row>
    <row r="202" spans="1:9">
      <c r="A202" s="3" t="s">
        <v>436</v>
      </c>
      <c r="B202" s="3" t="s">
        <v>14</v>
      </c>
      <c r="C202" s="3">
        <v>297</v>
      </c>
      <c r="D202" s="3">
        <v>56</v>
      </c>
      <c r="E202" s="3" t="s">
        <v>22</v>
      </c>
      <c r="F202" s="3">
        <v>-8.1000000000000003E-2</v>
      </c>
      <c r="G202" s="3">
        <v>14.941000000000001</v>
      </c>
      <c r="H202" s="3">
        <v>81.144999999999996</v>
      </c>
      <c r="I202" s="3">
        <v>6.7000000000000004E-2</v>
      </c>
    </row>
    <row r="203" spans="1:9">
      <c r="A203" s="1" t="s">
        <v>293</v>
      </c>
      <c r="B203" s="1" t="s">
        <v>14</v>
      </c>
      <c r="C203" s="1">
        <v>598</v>
      </c>
      <c r="D203" s="1">
        <v>145</v>
      </c>
      <c r="E203" s="1" t="s">
        <v>15</v>
      </c>
      <c r="F203" s="1">
        <v>-1.7999999999999999E-2</v>
      </c>
      <c r="G203" s="1">
        <v>32.731000000000002</v>
      </c>
      <c r="H203" s="1">
        <v>24.247</v>
      </c>
      <c r="I203" s="1">
        <v>6.5000000000000002E-2</v>
      </c>
    </row>
    <row r="204" spans="1:9">
      <c r="A204" s="3" t="s">
        <v>437</v>
      </c>
      <c r="B204" s="3" t="s">
        <v>14</v>
      </c>
      <c r="C204" s="3">
        <v>195</v>
      </c>
      <c r="D204" s="3">
        <v>37</v>
      </c>
      <c r="E204" s="3" t="s">
        <v>22</v>
      </c>
      <c r="F204" s="3">
        <v>-0.11</v>
      </c>
      <c r="G204" s="3">
        <v>9.7949999999999999</v>
      </c>
      <c r="H204" s="3">
        <v>81.025999999999996</v>
      </c>
      <c r="I204" s="3">
        <v>6.4000000000000001E-2</v>
      </c>
    </row>
    <row r="205" spans="1:9">
      <c r="A205" s="3" t="s">
        <v>438</v>
      </c>
      <c r="B205" s="3" t="s">
        <v>14</v>
      </c>
      <c r="C205" s="3">
        <v>1140</v>
      </c>
      <c r="D205" s="3">
        <v>217</v>
      </c>
      <c r="E205" s="3" t="s">
        <v>22</v>
      </c>
      <c r="F205" s="3">
        <v>-4.9000000000000002E-2</v>
      </c>
      <c r="G205" s="3">
        <v>57.222999999999999</v>
      </c>
      <c r="H205" s="3">
        <v>80.965000000000003</v>
      </c>
      <c r="I205" s="3">
        <v>6.2E-2</v>
      </c>
    </row>
    <row r="206" spans="1:9">
      <c r="A206" s="3" t="s">
        <v>439</v>
      </c>
      <c r="B206" s="3" t="s">
        <v>14</v>
      </c>
      <c r="C206" s="3">
        <v>21</v>
      </c>
      <c r="D206" s="3">
        <v>4</v>
      </c>
      <c r="E206" s="3" t="s">
        <v>22</v>
      </c>
      <c r="F206" s="3">
        <v>0.75900000000000001</v>
      </c>
      <c r="G206" s="3">
        <v>1.054</v>
      </c>
      <c r="H206" s="3">
        <v>80.951999999999998</v>
      </c>
      <c r="I206" s="3">
        <v>6.2E-2</v>
      </c>
    </row>
    <row r="207" spans="1:9">
      <c r="A207" s="1" t="s">
        <v>292</v>
      </c>
      <c r="B207" s="1" t="s">
        <v>14</v>
      </c>
      <c r="C207" s="1">
        <v>162</v>
      </c>
      <c r="D207" s="1">
        <v>39</v>
      </c>
      <c r="E207" s="1" t="s">
        <v>15</v>
      </c>
      <c r="F207" s="1">
        <v>0.155</v>
      </c>
      <c r="G207" s="1">
        <v>8.8040000000000003</v>
      </c>
      <c r="H207" s="1">
        <v>24.074000000000002</v>
      </c>
      <c r="I207" s="1">
        <v>6.0999999999999999E-2</v>
      </c>
    </row>
    <row r="208" spans="1:9">
      <c r="A208" s="1" t="s">
        <v>291</v>
      </c>
      <c r="B208" s="1" t="s">
        <v>14</v>
      </c>
      <c r="C208" s="1">
        <v>484</v>
      </c>
      <c r="D208" s="1">
        <v>116</v>
      </c>
      <c r="E208" s="1" t="s">
        <v>15</v>
      </c>
      <c r="F208" s="1">
        <v>0.315</v>
      </c>
      <c r="G208" s="1">
        <v>26.184999999999999</v>
      </c>
      <c r="H208" s="1">
        <v>23.966999999999999</v>
      </c>
      <c r="I208" s="1">
        <v>5.8000000000000003E-2</v>
      </c>
    </row>
    <row r="209" spans="1:9">
      <c r="A209" s="1" t="s">
        <v>249</v>
      </c>
      <c r="B209" s="1" t="s">
        <v>14</v>
      </c>
      <c r="C209" s="1">
        <v>96</v>
      </c>
      <c r="D209" s="1">
        <v>23</v>
      </c>
      <c r="E209" s="1" t="s">
        <v>15</v>
      </c>
      <c r="F209" s="1">
        <v>7.0000000000000001E-3</v>
      </c>
      <c r="G209" s="1">
        <v>5.1920000000000002</v>
      </c>
      <c r="H209" s="1">
        <v>23.957999999999998</v>
      </c>
      <c r="I209" s="1">
        <v>5.8000000000000003E-2</v>
      </c>
    </row>
    <row r="210" spans="1:9">
      <c r="A210" s="3" t="s">
        <v>441</v>
      </c>
      <c r="B210" s="3" t="s">
        <v>14</v>
      </c>
      <c r="C210" s="3">
        <v>109</v>
      </c>
      <c r="D210" s="3">
        <v>21</v>
      </c>
      <c r="E210" s="3" t="s">
        <v>22</v>
      </c>
      <c r="F210" s="3">
        <v>-4.7E-2</v>
      </c>
      <c r="G210" s="3">
        <v>5.4560000000000004</v>
      </c>
      <c r="H210" s="3">
        <v>80.733999999999995</v>
      </c>
      <c r="I210" s="3">
        <v>5.6000000000000001E-2</v>
      </c>
    </row>
    <row r="211" spans="1:9">
      <c r="A211" s="1" t="s">
        <v>289</v>
      </c>
      <c r="B211" s="1" t="s">
        <v>14</v>
      </c>
      <c r="C211" s="1">
        <v>283</v>
      </c>
      <c r="D211" s="1">
        <v>67</v>
      </c>
      <c r="E211" s="1" t="s">
        <v>15</v>
      </c>
      <c r="F211" s="1">
        <v>0.02</v>
      </c>
      <c r="G211" s="1">
        <v>15.124000000000001</v>
      </c>
      <c r="H211" s="1">
        <v>23.675000000000001</v>
      </c>
      <c r="I211" s="1">
        <v>5.0999999999999997E-2</v>
      </c>
    </row>
    <row r="212" spans="1:9">
      <c r="A212" s="1" t="s">
        <v>290</v>
      </c>
      <c r="B212" s="1" t="s">
        <v>14</v>
      </c>
      <c r="C212" s="1">
        <v>131</v>
      </c>
      <c r="D212" s="1">
        <v>31</v>
      </c>
      <c r="E212" s="1" t="s">
        <v>15</v>
      </c>
      <c r="F212" s="1">
        <v>6.7000000000000004E-2</v>
      </c>
      <c r="G212" s="1">
        <v>6.9980000000000002</v>
      </c>
      <c r="H212" s="1">
        <v>23.664000000000001</v>
      </c>
      <c r="I212" s="1">
        <v>5.0999999999999997E-2</v>
      </c>
    </row>
    <row r="213" spans="1:9">
      <c r="A213" s="3" t="s">
        <v>444</v>
      </c>
      <c r="B213" s="3" t="s">
        <v>14</v>
      </c>
      <c r="C213" s="3">
        <v>1336</v>
      </c>
      <c r="D213" s="3">
        <v>260</v>
      </c>
      <c r="E213" s="3" t="s">
        <v>22</v>
      </c>
      <c r="F213" s="3">
        <v>-6.7000000000000004E-2</v>
      </c>
      <c r="G213" s="3">
        <v>66.707999999999998</v>
      </c>
      <c r="H213" s="3">
        <v>80.539000000000001</v>
      </c>
      <c r="I213" s="3">
        <v>5.0999999999999997E-2</v>
      </c>
    </row>
    <row r="214" spans="1:9">
      <c r="A214" s="3" t="s">
        <v>445</v>
      </c>
      <c r="B214" s="3" t="s">
        <v>14</v>
      </c>
      <c r="C214" s="3">
        <v>852</v>
      </c>
      <c r="D214" s="3">
        <v>166</v>
      </c>
      <c r="E214" s="3" t="s">
        <v>22</v>
      </c>
      <c r="F214" s="3">
        <v>-4.0000000000000001E-3</v>
      </c>
      <c r="G214" s="3">
        <v>42.529000000000003</v>
      </c>
      <c r="H214" s="3">
        <v>80.516000000000005</v>
      </c>
      <c r="I214" s="3">
        <v>5.0999999999999997E-2</v>
      </c>
    </row>
    <row r="215" spans="1:9">
      <c r="A215" s="1" t="s">
        <v>288</v>
      </c>
      <c r="B215" s="1" t="s">
        <v>14</v>
      </c>
      <c r="C215" s="1">
        <v>106</v>
      </c>
      <c r="D215" s="1">
        <v>25</v>
      </c>
      <c r="E215" s="1" t="s">
        <v>15</v>
      </c>
      <c r="F215" s="1">
        <v>-0.21299999999999999</v>
      </c>
      <c r="G215" s="1">
        <v>5.6429999999999998</v>
      </c>
      <c r="H215" s="1">
        <v>23.585000000000001</v>
      </c>
      <c r="I215" s="1">
        <v>4.9000000000000002E-2</v>
      </c>
    </row>
    <row r="216" spans="1:9">
      <c r="A216" s="3" t="s">
        <v>447</v>
      </c>
      <c r="B216" s="3" t="s">
        <v>16</v>
      </c>
      <c r="C216" s="3">
        <v>522</v>
      </c>
      <c r="D216" s="3">
        <v>102</v>
      </c>
      <c r="E216" s="3" t="s">
        <v>22</v>
      </c>
      <c r="F216" s="3">
        <v>3.6999999999999998E-2</v>
      </c>
      <c r="G216" s="3">
        <v>26.038</v>
      </c>
      <c r="H216" s="3">
        <v>80.459999999999994</v>
      </c>
      <c r="I216" s="3">
        <v>4.9000000000000002E-2</v>
      </c>
    </row>
    <row r="217" spans="1:9">
      <c r="A217" s="3" t="s">
        <v>448</v>
      </c>
      <c r="B217" s="3" t="s">
        <v>14</v>
      </c>
      <c r="C217" s="3">
        <v>829</v>
      </c>
      <c r="D217" s="3">
        <v>163</v>
      </c>
      <c r="E217" s="3" t="s">
        <v>22</v>
      </c>
      <c r="F217" s="3">
        <v>-2.3E-2</v>
      </c>
      <c r="G217" s="3">
        <v>41.29</v>
      </c>
      <c r="H217" s="3">
        <v>80.337999999999994</v>
      </c>
      <c r="I217" s="3">
        <v>4.5999999999999999E-2</v>
      </c>
    </row>
    <row r="218" spans="1:9">
      <c r="A218" s="3" t="s">
        <v>449</v>
      </c>
      <c r="B218" s="3" t="s">
        <v>14</v>
      </c>
      <c r="C218" s="3">
        <v>975</v>
      </c>
      <c r="D218" s="3">
        <v>192</v>
      </c>
      <c r="E218" s="3" t="s">
        <v>22</v>
      </c>
      <c r="F218" s="3">
        <v>-0.107</v>
      </c>
      <c r="G218" s="3">
        <v>48.542999999999999</v>
      </c>
      <c r="H218" s="3">
        <v>80.308000000000007</v>
      </c>
      <c r="I218" s="3">
        <v>4.5999999999999999E-2</v>
      </c>
    </row>
    <row r="219" spans="1:9">
      <c r="A219" s="3" t="s">
        <v>450</v>
      </c>
      <c r="B219" s="3" t="s">
        <v>14</v>
      </c>
      <c r="C219" s="3">
        <v>391</v>
      </c>
      <c r="D219" s="3">
        <v>77</v>
      </c>
      <c r="E219" s="3" t="s">
        <v>22</v>
      </c>
      <c r="F219" s="3">
        <v>-4.5999999999999999E-2</v>
      </c>
      <c r="G219" s="3">
        <v>19.466999999999999</v>
      </c>
      <c r="H219" s="3">
        <v>80.307000000000002</v>
      </c>
      <c r="I219" s="3">
        <v>4.5999999999999999E-2</v>
      </c>
    </row>
    <row r="220" spans="1:9">
      <c r="A220" s="1" t="s">
        <v>287</v>
      </c>
      <c r="B220" s="1" t="s">
        <v>14</v>
      </c>
      <c r="C220" s="1">
        <v>299</v>
      </c>
      <c r="D220" s="1">
        <v>70</v>
      </c>
      <c r="E220" s="1" t="s">
        <v>15</v>
      </c>
      <c r="F220" s="1">
        <v>-2.9000000000000001E-2</v>
      </c>
      <c r="G220" s="1">
        <v>15.801</v>
      </c>
      <c r="H220" s="1">
        <v>23.411000000000001</v>
      </c>
      <c r="I220" s="1">
        <v>4.4999999999999998E-2</v>
      </c>
    </row>
    <row r="221" spans="1:9">
      <c r="A221" s="1" t="s">
        <v>286</v>
      </c>
      <c r="B221" s="1" t="s">
        <v>14</v>
      </c>
      <c r="C221" s="1">
        <v>582</v>
      </c>
      <c r="D221" s="1">
        <v>136</v>
      </c>
      <c r="E221" s="1" t="s">
        <v>15</v>
      </c>
      <c r="F221" s="1">
        <v>-0.46200000000000002</v>
      </c>
      <c r="G221" s="1">
        <v>30.7</v>
      </c>
      <c r="H221" s="1">
        <v>23.367999999999999</v>
      </c>
      <c r="I221" s="1">
        <v>4.3999999999999997E-2</v>
      </c>
    </row>
    <row r="222" spans="1:9">
      <c r="A222" s="3" t="s">
        <v>451</v>
      </c>
      <c r="B222" s="3" t="s">
        <v>14</v>
      </c>
      <c r="C222" s="3">
        <v>248</v>
      </c>
      <c r="D222" s="3">
        <v>49</v>
      </c>
      <c r="E222" s="3" t="s">
        <v>22</v>
      </c>
      <c r="F222" s="3">
        <v>-3.2000000000000001E-2</v>
      </c>
      <c r="G222" s="3">
        <v>12.337</v>
      </c>
      <c r="H222" s="3">
        <v>80.242000000000004</v>
      </c>
      <c r="I222" s="3">
        <v>4.3999999999999997E-2</v>
      </c>
    </row>
    <row r="223" spans="1:9">
      <c r="A223" s="1" t="s">
        <v>248</v>
      </c>
      <c r="B223" s="1" t="s">
        <v>14</v>
      </c>
      <c r="C223" s="1">
        <v>652</v>
      </c>
      <c r="D223" s="1">
        <v>152</v>
      </c>
      <c r="E223" s="1" t="s">
        <v>15</v>
      </c>
      <c r="F223" s="1">
        <v>-0.16500000000000001</v>
      </c>
      <c r="G223" s="1">
        <v>34.311999999999998</v>
      </c>
      <c r="H223" s="1">
        <v>23.312999999999999</v>
      </c>
      <c r="I223" s="1">
        <v>4.2999999999999997E-2</v>
      </c>
    </row>
    <row r="224" spans="1:9">
      <c r="A224" s="1" t="s">
        <v>285</v>
      </c>
      <c r="B224" s="1" t="s">
        <v>14</v>
      </c>
      <c r="C224" s="1">
        <v>584</v>
      </c>
      <c r="D224" s="1">
        <v>136</v>
      </c>
      <c r="E224" s="1" t="s">
        <v>15</v>
      </c>
      <c r="F224" s="1">
        <v>-5.8999999999999997E-2</v>
      </c>
      <c r="G224" s="1">
        <v>30.7</v>
      </c>
      <c r="H224" s="1">
        <v>23.288</v>
      </c>
      <c r="I224" s="1">
        <v>4.2000000000000003E-2</v>
      </c>
    </row>
    <row r="225" spans="1:9">
      <c r="A225" s="1" t="s">
        <v>284</v>
      </c>
      <c r="B225" s="1" t="s">
        <v>14</v>
      </c>
      <c r="C225" s="1">
        <v>546</v>
      </c>
      <c r="D225" s="1">
        <v>127</v>
      </c>
      <c r="E225" s="1" t="s">
        <v>15</v>
      </c>
      <c r="F225" s="1">
        <v>-1.2999999999999999E-2</v>
      </c>
      <c r="G225" s="1">
        <v>28.667999999999999</v>
      </c>
      <c r="H225" s="1">
        <v>23.26</v>
      </c>
      <c r="I225" s="1">
        <v>4.1000000000000002E-2</v>
      </c>
    </row>
    <row r="226" spans="1:9">
      <c r="A226" s="3" t="s">
        <v>455</v>
      </c>
      <c r="B226" s="3" t="s">
        <v>14</v>
      </c>
      <c r="C226" s="3">
        <v>846</v>
      </c>
      <c r="D226" s="3">
        <v>168</v>
      </c>
      <c r="E226" s="3" t="s">
        <v>22</v>
      </c>
      <c r="F226" s="3">
        <v>-1.9E-2</v>
      </c>
      <c r="G226" s="3">
        <v>42.033000000000001</v>
      </c>
      <c r="H226" s="3">
        <v>80.141999999999996</v>
      </c>
      <c r="I226" s="3">
        <v>4.1000000000000002E-2</v>
      </c>
    </row>
    <row r="227" spans="1:9">
      <c r="A227" s="1" t="s">
        <v>283</v>
      </c>
      <c r="B227" s="1" t="s">
        <v>14</v>
      </c>
      <c r="C227" s="1">
        <v>332</v>
      </c>
      <c r="D227" s="1">
        <v>77</v>
      </c>
      <c r="E227" s="1" t="s">
        <v>15</v>
      </c>
      <c r="F227" s="1">
        <v>-5.2999999999999999E-2</v>
      </c>
      <c r="G227" s="1">
        <v>17.381</v>
      </c>
      <c r="H227" s="1">
        <v>23.193000000000001</v>
      </c>
      <c r="I227" s="1">
        <v>0.04</v>
      </c>
    </row>
    <row r="228" spans="1:9">
      <c r="A228" s="3" t="s">
        <v>457</v>
      </c>
      <c r="B228" s="3" t="s">
        <v>14</v>
      </c>
      <c r="C228" s="3">
        <v>1434</v>
      </c>
      <c r="D228" s="3">
        <v>286</v>
      </c>
      <c r="E228" s="3" t="s">
        <v>22</v>
      </c>
      <c r="F228" s="3">
        <v>-4.3999999999999997E-2</v>
      </c>
      <c r="G228" s="3">
        <v>71.171999999999997</v>
      </c>
      <c r="H228" s="3">
        <v>80.055999999999997</v>
      </c>
      <c r="I228" s="3">
        <v>3.9E-2</v>
      </c>
    </row>
    <row r="229" spans="1:9">
      <c r="A229" s="1" t="s">
        <v>282</v>
      </c>
      <c r="B229" s="1" t="s">
        <v>14</v>
      </c>
      <c r="C229" s="1">
        <v>169</v>
      </c>
      <c r="D229" s="1">
        <v>39</v>
      </c>
      <c r="E229" s="1" t="s">
        <v>15</v>
      </c>
      <c r="F229" s="1">
        <v>5.8999999999999997E-2</v>
      </c>
      <c r="G229" s="1">
        <v>8.8040000000000003</v>
      </c>
      <c r="H229" s="1">
        <v>23.077000000000002</v>
      </c>
      <c r="I229" s="1">
        <v>3.6999999999999998E-2</v>
      </c>
    </row>
    <row r="230" spans="1:9">
      <c r="A230" s="3" t="s">
        <v>458</v>
      </c>
      <c r="B230" s="3" t="s">
        <v>14</v>
      </c>
      <c r="C230" s="3">
        <v>1426</v>
      </c>
      <c r="D230" s="3">
        <v>286</v>
      </c>
      <c r="E230" s="3" t="s">
        <v>22</v>
      </c>
      <c r="F230" s="3">
        <v>-2.8000000000000001E-2</v>
      </c>
      <c r="G230" s="3">
        <v>70.676000000000002</v>
      </c>
      <c r="H230" s="3">
        <v>79.944000000000003</v>
      </c>
      <c r="I230" s="3">
        <v>3.6999999999999998E-2</v>
      </c>
    </row>
    <row r="231" spans="1:9">
      <c r="A231" s="3" t="s">
        <v>459</v>
      </c>
      <c r="B231" s="3" t="s">
        <v>14</v>
      </c>
      <c r="C231" s="3">
        <v>1405</v>
      </c>
      <c r="D231" s="3">
        <v>282</v>
      </c>
      <c r="E231" s="3" t="s">
        <v>22</v>
      </c>
      <c r="F231" s="3">
        <v>-0.11700000000000001</v>
      </c>
      <c r="G231" s="3">
        <v>69.622</v>
      </c>
      <c r="H231" s="3">
        <v>79.929000000000002</v>
      </c>
      <c r="I231" s="3">
        <v>3.5999999999999997E-2</v>
      </c>
    </row>
    <row r="232" spans="1:9">
      <c r="A232" s="1" t="s">
        <v>281</v>
      </c>
      <c r="B232" s="1" t="s">
        <v>16</v>
      </c>
      <c r="C232" s="1">
        <v>174</v>
      </c>
      <c r="D232" s="1">
        <v>40</v>
      </c>
      <c r="E232" s="1" t="s">
        <v>15</v>
      </c>
      <c r="F232" s="1">
        <v>8.4000000000000005E-2</v>
      </c>
      <c r="G232" s="1">
        <v>9.0289999999999999</v>
      </c>
      <c r="H232" s="1">
        <v>22.989000000000001</v>
      </c>
      <c r="I232" s="1">
        <v>3.5000000000000003E-2</v>
      </c>
    </row>
    <row r="233" spans="1:9">
      <c r="A233" s="3" t="s">
        <v>461</v>
      </c>
      <c r="B233" s="3" t="s">
        <v>16</v>
      </c>
      <c r="C233" s="3">
        <v>114</v>
      </c>
      <c r="D233" s="3">
        <v>23</v>
      </c>
      <c r="E233" s="3" t="s">
        <v>22</v>
      </c>
      <c r="F233" s="3">
        <v>0.08</v>
      </c>
      <c r="G233" s="3">
        <v>5.6420000000000003</v>
      </c>
      <c r="H233" s="3">
        <v>79.825000000000003</v>
      </c>
      <c r="I233" s="3">
        <v>3.4000000000000002E-2</v>
      </c>
    </row>
    <row r="234" spans="1:9">
      <c r="A234" s="1" t="s">
        <v>280</v>
      </c>
      <c r="B234" s="1" t="s">
        <v>14</v>
      </c>
      <c r="C234" s="1">
        <v>795</v>
      </c>
      <c r="D234" s="1">
        <v>182</v>
      </c>
      <c r="E234" s="1" t="s">
        <v>15</v>
      </c>
      <c r="F234" s="1">
        <v>5.3999999999999999E-2</v>
      </c>
      <c r="G234" s="1">
        <v>41.084000000000003</v>
      </c>
      <c r="H234" s="1">
        <v>22.893000000000001</v>
      </c>
      <c r="I234" s="1">
        <v>3.3000000000000002E-2</v>
      </c>
    </row>
    <row r="235" spans="1:9">
      <c r="A235" s="3" t="s">
        <v>462</v>
      </c>
      <c r="B235" s="3" t="s">
        <v>14</v>
      </c>
      <c r="C235" s="3">
        <v>302</v>
      </c>
      <c r="D235" s="3">
        <v>61</v>
      </c>
      <c r="E235" s="3" t="s">
        <v>22</v>
      </c>
      <c r="F235" s="3">
        <v>-3.4000000000000002E-2</v>
      </c>
      <c r="G235" s="3">
        <v>14.941000000000001</v>
      </c>
      <c r="H235" s="3">
        <v>79.801000000000002</v>
      </c>
      <c r="I235" s="3">
        <v>3.3000000000000002E-2</v>
      </c>
    </row>
    <row r="236" spans="1:9">
      <c r="A236" s="3" t="s">
        <v>267</v>
      </c>
      <c r="B236" s="3" t="s">
        <v>14</v>
      </c>
      <c r="C236" s="3">
        <v>371</v>
      </c>
      <c r="D236" s="3">
        <v>75</v>
      </c>
      <c r="E236" s="3" t="s">
        <v>22</v>
      </c>
      <c r="F236" s="3">
        <v>-3.0000000000000001E-3</v>
      </c>
      <c r="G236" s="3">
        <v>18.350999999999999</v>
      </c>
      <c r="H236" s="3">
        <v>79.784000000000006</v>
      </c>
      <c r="I236" s="3">
        <v>3.3000000000000002E-2</v>
      </c>
    </row>
    <row r="237" spans="1:9">
      <c r="A237" s="3" t="s">
        <v>463</v>
      </c>
      <c r="B237" s="3" t="s">
        <v>14</v>
      </c>
      <c r="C237" s="3">
        <v>271</v>
      </c>
      <c r="D237" s="3">
        <v>55</v>
      </c>
      <c r="E237" s="3" t="s">
        <v>22</v>
      </c>
      <c r="F237" s="3">
        <v>-4.7E-2</v>
      </c>
      <c r="G237" s="3">
        <v>13.391</v>
      </c>
      <c r="H237" s="3">
        <v>79.704999999999998</v>
      </c>
      <c r="I237" s="3">
        <v>3.1E-2</v>
      </c>
    </row>
    <row r="238" spans="1:9">
      <c r="A238" s="3" t="s">
        <v>464</v>
      </c>
      <c r="B238" s="3" t="s">
        <v>14</v>
      </c>
      <c r="C238" s="3">
        <v>157</v>
      </c>
      <c r="D238" s="3">
        <v>32</v>
      </c>
      <c r="E238" s="3" t="s">
        <v>22</v>
      </c>
      <c r="F238" s="3">
        <v>-7.0999999999999994E-2</v>
      </c>
      <c r="G238" s="3">
        <v>7.75</v>
      </c>
      <c r="H238" s="3">
        <v>79.617999999999995</v>
      </c>
      <c r="I238" s="3">
        <v>2.9000000000000001E-2</v>
      </c>
    </row>
    <row r="239" spans="1:9">
      <c r="A239" s="1" t="s">
        <v>279</v>
      </c>
      <c r="B239" s="1" t="s">
        <v>14</v>
      </c>
      <c r="C239" s="1">
        <v>534</v>
      </c>
      <c r="D239" s="1">
        <v>121</v>
      </c>
      <c r="E239" s="1" t="s">
        <v>15</v>
      </c>
      <c r="F239" s="1">
        <v>-0.161</v>
      </c>
      <c r="G239" s="1">
        <v>27.314</v>
      </c>
      <c r="H239" s="1">
        <v>22.658999999999999</v>
      </c>
      <c r="I239" s="1">
        <v>2.7E-2</v>
      </c>
    </row>
    <row r="240" spans="1:9">
      <c r="A240" s="3" t="s">
        <v>466</v>
      </c>
      <c r="B240" s="3" t="s">
        <v>14</v>
      </c>
      <c r="C240" s="3">
        <v>166</v>
      </c>
      <c r="D240" s="3">
        <v>34</v>
      </c>
      <c r="E240" s="3" t="s">
        <v>22</v>
      </c>
      <c r="F240" s="3">
        <v>0.50800000000000001</v>
      </c>
      <c r="G240" s="3">
        <v>8.1839999999999993</v>
      </c>
      <c r="H240" s="3">
        <v>79.518000000000001</v>
      </c>
      <c r="I240" s="3">
        <v>2.5999999999999999E-2</v>
      </c>
    </row>
    <row r="241" spans="1:9">
      <c r="A241" s="1" t="s">
        <v>278</v>
      </c>
      <c r="B241" s="1" t="s">
        <v>14</v>
      </c>
      <c r="C241" s="1">
        <v>177</v>
      </c>
      <c r="D241" s="1">
        <v>40</v>
      </c>
      <c r="E241" s="1" t="s">
        <v>15</v>
      </c>
      <c r="F241" s="1">
        <v>0.155</v>
      </c>
      <c r="G241" s="1">
        <v>9.0289999999999999</v>
      </c>
      <c r="H241" s="1">
        <v>22.599</v>
      </c>
      <c r="I241" s="1">
        <v>2.5000000000000001E-2</v>
      </c>
    </row>
    <row r="242" spans="1:9">
      <c r="A242" s="3" t="s">
        <v>467</v>
      </c>
      <c r="B242" s="3" t="s">
        <v>16</v>
      </c>
      <c r="C242" s="3">
        <v>39</v>
      </c>
      <c r="D242" s="3">
        <v>8</v>
      </c>
      <c r="E242" s="3" t="s">
        <v>22</v>
      </c>
      <c r="F242" s="3">
        <v>0.78900000000000003</v>
      </c>
      <c r="G242" s="3">
        <v>1.9219999999999999</v>
      </c>
      <c r="H242" s="3">
        <v>79.486999999999995</v>
      </c>
      <c r="I242" s="3">
        <v>2.5000000000000001E-2</v>
      </c>
    </row>
    <row r="243" spans="1:9">
      <c r="A243" s="3" t="s">
        <v>468</v>
      </c>
      <c r="B243" s="3" t="s">
        <v>14</v>
      </c>
      <c r="C243" s="3">
        <v>910</v>
      </c>
      <c r="D243" s="3">
        <v>187</v>
      </c>
      <c r="E243" s="3" t="s">
        <v>22</v>
      </c>
      <c r="F243" s="3">
        <v>-4.2999999999999997E-2</v>
      </c>
      <c r="G243" s="3">
        <v>44.823</v>
      </c>
      <c r="H243" s="3">
        <v>79.450999999999993</v>
      </c>
      <c r="I243" s="3">
        <v>2.4E-2</v>
      </c>
    </row>
    <row r="244" spans="1:9">
      <c r="A244" s="1" t="s">
        <v>277</v>
      </c>
      <c r="B244" s="1" t="s">
        <v>14</v>
      </c>
      <c r="C244" s="1">
        <v>138</v>
      </c>
      <c r="D244" s="1">
        <v>31</v>
      </c>
      <c r="E244" s="1" t="s">
        <v>15</v>
      </c>
      <c r="F244" s="1">
        <v>-0.26100000000000001</v>
      </c>
      <c r="G244" s="1">
        <v>6.9980000000000002</v>
      </c>
      <c r="H244" s="1">
        <v>22.463999999999999</v>
      </c>
      <c r="I244" s="1">
        <v>2.1999999999999999E-2</v>
      </c>
    </row>
    <row r="245" spans="1:9">
      <c r="A245" s="3" t="s">
        <v>470</v>
      </c>
      <c r="B245" s="3" t="s">
        <v>14</v>
      </c>
      <c r="C245" s="3">
        <v>252</v>
      </c>
      <c r="D245" s="3">
        <v>52</v>
      </c>
      <c r="E245" s="3" t="s">
        <v>22</v>
      </c>
      <c r="F245" s="3">
        <v>-9.2999999999999999E-2</v>
      </c>
      <c r="G245" s="3">
        <v>12.398999999999999</v>
      </c>
      <c r="H245" s="3">
        <v>79.364999999999995</v>
      </c>
      <c r="I245" s="3">
        <v>2.1999999999999999E-2</v>
      </c>
    </row>
    <row r="246" spans="1:9">
      <c r="A246" s="3" t="s">
        <v>471</v>
      </c>
      <c r="B246" s="3" t="s">
        <v>14</v>
      </c>
      <c r="C246" s="3">
        <v>116</v>
      </c>
      <c r="D246" s="3">
        <v>24</v>
      </c>
      <c r="E246" s="3" t="s">
        <v>22</v>
      </c>
      <c r="F246" s="3">
        <v>-3.1E-2</v>
      </c>
      <c r="G246" s="3">
        <v>5.7039999999999997</v>
      </c>
      <c r="H246" s="3">
        <v>79.31</v>
      </c>
      <c r="I246" s="3">
        <v>2.1000000000000001E-2</v>
      </c>
    </row>
    <row r="247" spans="1:9">
      <c r="A247" s="3" t="s">
        <v>269</v>
      </c>
      <c r="B247" s="3" t="s">
        <v>14</v>
      </c>
      <c r="C247" s="3">
        <v>483</v>
      </c>
      <c r="D247" s="3">
        <v>100</v>
      </c>
      <c r="E247" s="3" t="s">
        <v>22</v>
      </c>
      <c r="F247" s="3">
        <v>-6.6000000000000003E-2</v>
      </c>
      <c r="G247" s="3">
        <v>23.745000000000001</v>
      </c>
      <c r="H247" s="3">
        <v>79.296000000000006</v>
      </c>
      <c r="I247" s="3">
        <v>2.1000000000000001E-2</v>
      </c>
    </row>
    <row r="248" spans="1:9">
      <c r="A248" s="1" t="s">
        <v>276</v>
      </c>
      <c r="B248" s="1" t="s">
        <v>14</v>
      </c>
      <c r="C248" s="1">
        <v>201</v>
      </c>
      <c r="D248" s="1">
        <v>45</v>
      </c>
      <c r="E248" s="1" t="s">
        <v>15</v>
      </c>
      <c r="F248" s="1">
        <v>0.1</v>
      </c>
      <c r="G248" s="1">
        <v>10.157999999999999</v>
      </c>
      <c r="H248" s="1">
        <v>22.388000000000002</v>
      </c>
      <c r="I248" s="1">
        <v>0.02</v>
      </c>
    </row>
    <row r="249" spans="1:9">
      <c r="A249" s="3" t="s">
        <v>473</v>
      </c>
      <c r="B249" s="3" t="s">
        <v>14</v>
      </c>
      <c r="C249" s="3">
        <v>743</v>
      </c>
      <c r="D249" s="3">
        <v>154</v>
      </c>
      <c r="E249" s="3" t="s">
        <v>22</v>
      </c>
      <c r="F249" s="3">
        <v>0.16400000000000001</v>
      </c>
      <c r="G249" s="3">
        <v>36.515999999999998</v>
      </c>
      <c r="H249" s="3">
        <v>79.272999999999996</v>
      </c>
      <c r="I249" s="3">
        <v>0.02</v>
      </c>
    </row>
    <row r="250" spans="1:9">
      <c r="A250" s="3" t="s">
        <v>474</v>
      </c>
      <c r="B250" s="3" t="s">
        <v>14</v>
      </c>
      <c r="C250" s="3">
        <v>1866</v>
      </c>
      <c r="D250" s="3">
        <v>387</v>
      </c>
      <c r="E250" s="3" t="s">
        <v>22</v>
      </c>
      <c r="F250" s="3">
        <v>-0.23200000000000001</v>
      </c>
      <c r="G250" s="3">
        <v>91.691999999999993</v>
      </c>
      <c r="H250" s="3">
        <v>79.260000000000005</v>
      </c>
      <c r="I250" s="3">
        <v>0.02</v>
      </c>
    </row>
    <row r="251" spans="1:9">
      <c r="A251" s="1" t="s">
        <v>275</v>
      </c>
      <c r="B251" s="1" t="s">
        <v>14</v>
      </c>
      <c r="C251" s="1">
        <v>54</v>
      </c>
      <c r="D251" s="1">
        <v>12</v>
      </c>
      <c r="E251" s="1" t="s">
        <v>15</v>
      </c>
      <c r="F251" s="1">
        <v>0.33800000000000002</v>
      </c>
      <c r="G251" s="1">
        <v>2.7090000000000001</v>
      </c>
      <c r="H251" s="1">
        <v>22.222000000000001</v>
      </c>
      <c r="I251" s="1">
        <v>1.6E-2</v>
      </c>
    </row>
    <row r="252" spans="1:9">
      <c r="A252" s="1" t="s">
        <v>247</v>
      </c>
      <c r="B252" s="1" t="s">
        <v>14</v>
      </c>
      <c r="C252" s="1">
        <v>293</v>
      </c>
      <c r="D252" s="1">
        <v>65</v>
      </c>
      <c r="E252" s="1" t="s">
        <v>15</v>
      </c>
      <c r="F252" s="1">
        <v>-0.217</v>
      </c>
      <c r="G252" s="1">
        <v>14.673</v>
      </c>
      <c r="H252" s="1">
        <v>22.184000000000001</v>
      </c>
      <c r="I252" s="1">
        <v>1.4999999999999999E-2</v>
      </c>
    </row>
    <row r="253" spans="1:9">
      <c r="A253" s="1" t="s">
        <v>246</v>
      </c>
      <c r="B253" s="1" t="s">
        <v>14</v>
      </c>
      <c r="C253" s="1">
        <v>540</v>
      </c>
      <c r="D253" s="1">
        <v>119</v>
      </c>
      <c r="E253" s="1" t="s">
        <v>15</v>
      </c>
      <c r="F253" s="1">
        <v>-0.192</v>
      </c>
      <c r="G253" s="1">
        <v>26.861999999999998</v>
      </c>
      <c r="H253" s="1">
        <v>22.036999999999999</v>
      </c>
      <c r="I253" s="1">
        <v>1.2E-2</v>
      </c>
    </row>
    <row r="254" spans="1:9">
      <c r="A254" s="3" t="s">
        <v>478</v>
      </c>
      <c r="B254" s="3" t="s">
        <v>14</v>
      </c>
      <c r="C254" s="3">
        <v>607</v>
      </c>
      <c r="D254" s="3">
        <v>128</v>
      </c>
      <c r="E254" s="3" t="s">
        <v>22</v>
      </c>
      <c r="F254" s="3">
        <v>3.2000000000000001E-2</v>
      </c>
      <c r="G254" s="3">
        <v>29.696000000000002</v>
      </c>
      <c r="H254" s="3">
        <v>78.912999999999997</v>
      </c>
      <c r="I254" s="3">
        <v>1.0999999999999999E-2</v>
      </c>
    </row>
    <row r="255" spans="1:9">
      <c r="A255" s="3" t="s">
        <v>479</v>
      </c>
      <c r="B255" s="3" t="s">
        <v>14</v>
      </c>
      <c r="C255" s="3">
        <v>227</v>
      </c>
      <c r="D255" s="3">
        <v>48</v>
      </c>
      <c r="E255" s="3" t="s">
        <v>22</v>
      </c>
      <c r="F255" s="3">
        <v>0.48799999999999999</v>
      </c>
      <c r="G255" s="3">
        <v>11.097</v>
      </c>
      <c r="H255" s="3">
        <v>78.855000000000004</v>
      </c>
      <c r="I255" s="3">
        <v>0.01</v>
      </c>
    </row>
    <row r="256" spans="1:9">
      <c r="A256" s="3" t="s">
        <v>480</v>
      </c>
      <c r="B256" s="3" t="s">
        <v>14</v>
      </c>
      <c r="C256" s="3">
        <v>416</v>
      </c>
      <c r="D256" s="3">
        <v>88</v>
      </c>
      <c r="E256" s="3" t="s">
        <v>22</v>
      </c>
      <c r="F256" s="3">
        <v>-0.09</v>
      </c>
      <c r="G256" s="3">
        <v>20.335000000000001</v>
      </c>
      <c r="H256" s="3">
        <v>78.846000000000004</v>
      </c>
      <c r="I256" s="3">
        <v>0.01</v>
      </c>
    </row>
    <row r="257" spans="1:9">
      <c r="A257" s="1" t="s">
        <v>274</v>
      </c>
      <c r="B257" s="1" t="s">
        <v>14</v>
      </c>
      <c r="C257" s="1">
        <v>503</v>
      </c>
      <c r="D257" s="1">
        <v>110</v>
      </c>
      <c r="E257" s="1" t="s">
        <v>15</v>
      </c>
      <c r="F257" s="1">
        <v>8.6999999999999994E-2</v>
      </c>
      <c r="G257" s="1">
        <v>24.831</v>
      </c>
      <c r="H257" s="1">
        <v>21.869</v>
      </c>
      <c r="I257" s="1">
        <v>8.0000000000000002E-3</v>
      </c>
    </row>
    <row r="258" spans="1:9">
      <c r="A258" s="1" t="s">
        <v>273</v>
      </c>
      <c r="B258" s="1" t="s">
        <v>14</v>
      </c>
      <c r="C258" s="1">
        <v>55</v>
      </c>
      <c r="D258" s="1">
        <v>12</v>
      </c>
      <c r="E258" s="1" t="s">
        <v>15</v>
      </c>
      <c r="F258" s="1">
        <v>0.40300000000000002</v>
      </c>
      <c r="G258" s="1">
        <v>2.7090000000000001</v>
      </c>
      <c r="H258" s="1">
        <v>21.818000000000001</v>
      </c>
      <c r="I258" s="1">
        <v>7.0000000000000001E-3</v>
      </c>
    </row>
    <row r="259" spans="1:9">
      <c r="A259" s="3" t="s">
        <v>483</v>
      </c>
      <c r="B259" s="3" t="s">
        <v>14</v>
      </c>
      <c r="C259" s="3">
        <v>574</v>
      </c>
      <c r="D259" s="3">
        <v>122</v>
      </c>
      <c r="E259" s="3" t="s">
        <v>22</v>
      </c>
      <c r="F259" s="3">
        <v>-0.10299999999999999</v>
      </c>
      <c r="G259" s="3">
        <v>28.021999999999998</v>
      </c>
      <c r="H259" s="3">
        <v>78.745999999999995</v>
      </c>
      <c r="I259" s="3">
        <v>7.0000000000000001E-3</v>
      </c>
    </row>
    <row r="260" spans="1:9">
      <c r="A260" s="1" t="s">
        <v>272</v>
      </c>
      <c r="B260" s="1" t="s">
        <v>14</v>
      </c>
      <c r="C260" s="1">
        <v>92</v>
      </c>
      <c r="D260" s="1">
        <v>20</v>
      </c>
      <c r="E260" s="1" t="s">
        <v>15</v>
      </c>
      <c r="F260" s="1">
        <v>-4.1000000000000002E-2</v>
      </c>
      <c r="G260" s="1">
        <v>4.5149999999999997</v>
      </c>
      <c r="H260" s="1">
        <v>21.739000000000001</v>
      </c>
      <c r="I260" s="1">
        <v>5.0000000000000001E-3</v>
      </c>
    </row>
    <row r="261" spans="1:9">
      <c r="A261" s="1" t="s">
        <v>271</v>
      </c>
      <c r="B261" s="1" t="s">
        <v>14</v>
      </c>
      <c r="C261" s="1">
        <v>415</v>
      </c>
      <c r="D261" s="1">
        <v>90</v>
      </c>
      <c r="E261" s="1" t="s">
        <v>15</v>
      </c>
      <c r="F261" s="1">
        <v>-7.0999999999999994E-2</v>
      </c>
      <c r="G261" s="1">
        <v>20.315999999999999</v>
      </c>
      <c r="H261" s="1">
        <v>21.687000000000001</v>
      </c>
      <c r="I261" s="1">
        <v>3.0000000000000001E-3</v>
      </c>
    </row>
    <row r="262" spans="1:9">
      <c r="A262" s="1" t="s">
        <v>270</v>
      </c>
      <c r="B262" s="1" t="s">
        <v>14</v>
      </c>
      <c r="C262" s="1">
        <v>51</v>
      </c>
      <c r="D262" s="1">
        <v>11</v>
      </c>
      <c r="E262" s="1" t="s">
        <v>15</v>
      </c>
      <c r="F262" s="1">
        <v>0.25</v>
      </c>
      <c r="G262" s="1">
        <v>2.4830000000000001</v>
      </c>
      <c r="H262" s="1">
        <v>21.568999999999999</v>
      </c>
      <c r="I262" s="1">
        <v>1E-3</v>
      </c>
    </row>
    <row r="263" spans="1:9">
      <c r="A263" s="3" t="s">
        <v>487</v>
      </c>
      <c r="B263" s="3" t="s">
        <v>14</v>
      </c>
      <c r="C263" s="3">
        <v>483</v>
      </c>
      <c r="D263" s="3">
        <v>104</v>
      </c>
      <c r="E263" s="3" t="s">
        <v>22</v>
      </c>
      <c r="F263" s="3">
        <v>-8.7999999999999995E-2</v>
      </c>
      <c r="G263" s="3">
        <v>23.497</v>
      </c>
      <c r="H263" s="3">
        <v>78.468000000000004</v>
      </c>
      <c r="I263" s="3">
        <v>0</v>
      </c>
    </row>
  </sheetData>
  <autoFilter ref="A8:I8" xr:uid="{F61623CF-7F18-624D-9F6E-9784C4CBEEC6}">
    <sortState xmlns:xlrd2="http://schemas.microsoft.com/office/spreadsheetml/2017/richdata2" ref="A9:I263">
      <sortCondition descending="1" ref="I8:I263"/>
    </sortState>
  </autoFilter>
  <mergeCells count="1">
    <mergeCell ref="A1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31C62-397D-D348-A375-A1D58D955D2A}">
  <dimension ref="A1:N160"/>
  <sheetViews>
    <sheetView workbookViewId="0">
      <selection activeCell="K9" sqref="K9:N11"/>
    </sheetView>
  </sheetViews>
  <sheetFormatPr baseColWidth="10" defaultRowHeight="16"/>
  <cols>
    <col min="1" max="1" width="76.6640625" customWidth="1"/>
    <col min="11" max="11" width="21.6640625" customWidth="1"/>
  </cols>
  <sheetData>
    <row r="1" spans="1:14">
      <c r="A1" s="12" t="s">
        <v>1785</v>
      </c>
      <c r="B1" s="13"/>
      <c r="C1" s="13"/>
      <c r="D1" s="13"/>
      <c r="E1" s="13"/>
      <c r="F1" s="13"/>
      <c r="G1" s="13"/>
      <c r="H1" s="13"/>
      <c r="I1" s="13"/>
    </row>
    <row r="2" spans="1:14">
      <c r="A2" s="13"/>
      <c r="B2" s="13"/>
      <c r="C2" s="13"/>
      <c r="D2" s="13"/>
      <c r="E2" s="13"/>
      <c r="F2" s="13"/>
      <c r="G2" s="13"/>
      <c r="H2" s="13"/>
      <c r="I2" s="13"/>
    </row>
    <row r="3" spans="1:14">
      <c r="A3" t="s">
        <v>0</v>
      </c>
      <c r="B3" t="s">
        <v>1</v>
      </c>
    </row>
    <row r="4" spans="1:14">
      <c r="A4" t="s">
        <v>2</v>
      </c>
      <c r="B4" t="s">
        <v>3</v>
      </c>
    </row>
    <row r="5" spans="1:14">
      <c r="A5" t="s">
        <v>4</v>
      </c>
      <c r="B5">
        <v>2244</v>
      </c>
    </row>
    <row r="6" spans="1:14">
      <c r="A6" t="s">
        <v>5</v>
      </c>
      <c r="B6">
        <v>478</v>
      </c>
    </row>
    <row r="8" spans="1:14">
      <c r="A8" t="s">
        <v>6</v>
      </c>
      <c r="B8" t="s">
        <v>7</v>
      </c>
      <c r="C8" t="s">
        <v>8</v>
      </c>
      <c r="D8" t="s">
        <v>9</v>
      </c>
      <c r="E8" t="s">
        <v>10</v>
      </c>
      <c r="F8" t="s">
        <v>11</v>
      </c>
      <c r="G8" t="s">
        <v>12</v>
      </c>
      <c r="H8" t="s">
        <v>13</v>
      </c>
      <c r="I8" t="s">
        <v>237</v>
      </c>
    </row>
    <row r="9" spans="1:14" ht="17">
      <c r="A9" s="1" t="s">
        <v>928</v>
      </c>
      <c r="B9" s="1" t="s">
        <v>14</v>
      </c>
      <c r="C9" s="1">
        <v>5</v>
      </c>
      <c r="D9" s="1">
        <v>5</v>
      </c>
      <c r="E9" s="1" t="s">
        <v>15</v>
      </c>
      <c r="F9" s="1">
        <v>1.9079999999999999</v>
      </c>
      <c r="G9" s="1">
        <v>1.046</v>
      </c>
      <c r="H9" s="1">
        <v>100</v>
      </c>
      <c r="I9" s="1">
        <v>1.7589999999999999</v>
      </c>
      <c r="K9" s="8" t="s">
        <v>1804</v>
      </c>
      <c r="L9" s="8" t="s">
        <v>1805</v>
      </c>
      <c r="M9" s="8" t="s">
        <v>8</v>
      </c>
      <c r="N9" s="8" t="s">
        <v>9</v>
      </c>
    </row>
    <row r="10" spans="1:14" ht="17">
      <c r="A10" s="1" t="s">
        <v>929</v>
      </c>
      <c r="B10" s="1" t="s">
        <v>16</v>
      </c>
      <c r="C10" s="1">
        <v>7</v>
      </c>
      <c r="D10" s="1">
        <v>6</v>
      </c>
      <c r="E10" s="1" t="s">
        <v>15</v>
      </c>
      <c r="F10" s="1">
        <v>0.70699999999999996</v>
      </c>
      <c r="G10" s="1">
        <v>1.2549999999999999</v>
      </c>
      <c r="H10" s="1">
        <v>85.713999999999999</v>
      </c>
      <c r="I10" s="1">
        <v>1.3779999999999999</v>
      </c>
      <c r="K10" s="9" t="s">
        <v>1806</v>
      </c>
      <c r="L10" s="9" t="s">
        <v>1807</v>
      </c>
      <c r="M10" s="9">
        <v>167</v>
      </c>
      <c r="N10" s="9">
        <v>48</v>
      </c>
    </row>
    <row r="11" spans="1:14" ht="17">
      <c r="A11" s="1" t="s">
        <v>930</v>
      </c>
      <c r="B11" s="1" t="s">
        <v>14</v>
      </c>
      <c r="C11" s="1">
        <v>5</v>
      </c>
      <c r="D11" s="1">
        <v>4</v>
      </c>
      <c r="E11" s="1" t="s">
        <v>15</v>
      </c>
      <c r="F11" s="1">
        <v>0.86299999999999999</v>
      </c>
      <c r="G11" s="1">
        <v>0.83699999999999997</v>
      </c>
      <c r="H11" s="1">
        <v>80</v>
      </c>
      <c r="I11" s="1">
        <v>1.2529999999999999</v>
      </c>
      <c r="K11" s="9" t="s">
        <v>1808</v>
      </c>
      <c r="L11" s="9" t="s">
        <v>1809</v>
      </c>
      <c r="M11" s="9">
        <v>299</v>
      </c>
      <c r="N11" s="9">
        <v>245</v>
      </c>
    </row>
    <row r="12" spans="1:14">
      <c r="A12" s="1" t="s">
        <v>931</v>
      </c>
      <c r="B12" s="1" t="s">
        <v>16</v>
      </c>
      <c r="C12" s="1">
        <v>81</v>
      </c>
      <c r="D12" s="1">
        <v>51</v>
      </c>
      <c r="E12" s="1" t="s">
        <v>15</v>
      </c>
      <c r="F12" s="1">
        <v>8.4000000000000005E-2</v>
      </c>
      <c r="G12" s="1">
        <v>10.669</v>
      </c>
      <c r="H12" s="1">
        <v>62.963000000000001</v>
      </c>
      <c r="I12" s="1">
        <v>0.89800000000000002</v>
      </c>
    </row>
    <row r="13" spans="1:14">
      <c r="A13" s="1" t="s">
        <v>932</v>
      </c>
      <c r="B13" s="1" t="s">
        <v>16</v>
      </c>
      <c r="C13" s="1">
        <v>15</v>
      </c>
      <c r="D13" s="1">
        <v>9</v>
      </c>
      <c r="E13" s="1" t="s">
        <v>15</v>
      </c>
      <c r="F13" s="1">
        <v>0.22800000000000001</v>
      </c>
      <c r="G13" s="1">
        <v>1.883</v>
      </c>
      <c r="H13" s="1">
        <v>60</v>
      </c>
      <c r="I13" s="1">
        <v>0.83699999999999997</v>
      </c>
    </row>
    <row r="14" spans="1:14">
      <c r="A14" s="1" t="s">
        <v>933</v>
      </c>
      <c r="B14" s="1" t="s">
        <v>16</v>
      </c>
      <c r="C14" s="1">
        <v>27</v>
      </c>
      <c r="D14" s="1">
        <v>16</v>
      </c>
      <c r="E14" s="1" t="s">
        <v>15</v>
      </c>
      <c r="F14" s="1">
        <v>0.104</v>
      </c>
      <c r="G14" s="1">
        <v>3.347</v>
      </c>
      <c r="H14" s="1">
        <v>59.259</v>
      </c>
      <c r="I14" s="1">
        <v>0.82199999999999995</v>
      </c>
    </row>
    <row r="15" spans="1:14">
      <c r="A15" s="3" t="s">
        <v>934</v>
      </c>
      <c r="B15" s="3" t="s">
        <v>14</v>
      </c>
      <c r="C15" s="3">
        <v>17</v>
      </c>
      <c r="D15" s="3">
        <v>0</v>
      </c>
      <c r="E15" s="3" t="s">
        <v>22</v>
      </c>
      <c r="F15" s="3">
        <v>-0.45400000000000001</v>
      </c>
      <c r="G15" s="3">
        <v>0.96299999999999997</v>
      </c>
      <c r="H15" s="3">
        <v>100</v>
      </c>
      <c r="I15" s="3">
        <v>0.69199999999999995</v>
      </c>
    </row>
    <row r="16" spans="1:14">
      <c r="A16" s="3" t="s">
        <v>935</v>
      </c>
      <c r="B16" s="3" t="s">
        <v>16</v>
      </c>
      <c r="C16" s="3">
        <v>25</v>
      </c>
      <c r="D16" s="3">
        <v>0</v>
      </c>
      <c r="E16" s="3" t="s">
        <v>22</v>
      </c>
      <c r="F16" s="3">
        <v>-0.44500000000000001</v>
      </c>
      <c r="G16" s="3">
        <v>1.4159999999999999</v>
      </c>
      <c r="H16" s="3">
        <v>100</v>
      </c>
      <c r="I16" s="3">
        <v>0.69199999999999995</v>
      </c>
    </row>
    <row r="17" spans="1:9">
      <c r="A17" s="3" t="s">
        <v>97</v>
      </c>
      <c r="B17" s="3" t="s">
        <v>16</v>
      </c>
      <c r="C17" s="3">
        <v>27</v>
      </c>
      <c r="D17" s="3">
        <v>0</v>
      </c>
      <c r="E17" s="3" t="s">
        <v>22</v>
      </c>
      <c r="F17" s="3">
        <v>-0.28100000000000003</v>
      </c>
      <c r="G17" s="3">
        <v>1.5289999999999999</v>
      </c>
      <c r="H17" s="3">
        <v>100</v>
      </c>
      <c r="I17" s="3">
        <v>0.69199999999999995</v>
      </c>
    </row>
    <row r="18" spans="1:9">
      <c r="A18" s="1" t="s">
        <v>193</v>
      </c>
      <c r="B18" s="1" t="s">
        <v>16</v>
      </c>
      <c r="C18" s="1">
        <v>247</v>
      </c>
      <c r="D18" s="1">
        <v>120</v>
      </c>
      <c r="E18" s="1" t="s">
        <v>15</v>
      </c>
      <c r="F18" s="1">
        <v>2.3E-2</v>
      </c>
      <c r="G18" s="1">
        <v>25.105</v>
      </c>
      <c r="H18" s="1">
        <v>48.582999999999998</v>
      </c>
      <c r="I18" s="1">
        <v>0.60299999999999998</v>
      </c>
    </row>
    <row r="19" spans="1:9">
      <c r="A19" s="1" t="s">
        <v>192</v>
      </c>
      <c r="B19" s="1" t="s">
        <v>16</v>
      </c>
      <c r="C19" s="1">
        <v>303</v>
      </c>
      <c r="D19" s="1">
        <v>147</v>
      </c>
      <c r="E19" s="1" t="s">
        <v>15</v>
      </c>
      <c r="F19" s="1">
        <v>2.7E-2</v>
      </c>
      <c r="G19" s="1">
        <v>30.753</v>
      </c>
      <c r="H19" s="1">
        <v>48.515000000000001</v>
      </c>
      <c r="I19" s="1">
        <v>0.60099999999999998</v>
      </c>
    </row>
    <row r="20" spans="1:9">
      <c r="A20" s="1" t="s">
        <v>936</v>
      </c>
      <c r="B20" s="1" t="s">
        <v>16</v>
      </c>
      <c r="C20" s="1">
        <v>269</v>
      </c>
      <c r="D20" s="1">
        <v>130</v>
      </c>
      <c r="E20" s="1" t="s">
        <v>15</v>
      </c>
      <c r="F20" s="1">
        <v>7.0000000000000001E-3</v>
      </c>
      <c r="G20" s="1">
        <v>27.196999999999999</v>
      </c>
      <c r="H20" s="1">
        <v>48.326999999999998</v>
      </c>
      <c r="I20" s="1">
        <v>0.59799999999999998</v>
      </c>
    </row>
    <row r="21" spans="1:9">
      <c r="A21" s="1" t="s">
        <v>937</v>
      </c>
      <c r="B21" s="1" t="s">
        <v>14</v>
      </c>
      <c r="C21" s="1">
        <v>21</v>
      </c>
      <c r="D21" s="1">
        <v>10</v>
      </c>
      <c r="E21" s="1" t="s">
        <v>15</v>
      </c>
      <c r="F21" s="1">
        <v>0.40500000000000003</v>
      </c>
      <c r="G21" s="1">
        <v>2.0920000000000001</v>
      </c>
      <c r="H21" s="1">
        <v>47.619</v>
      </c>
      <c r="I21" s="1">
        <v>0.58299999999999996</v>
      </c>
    </row>
    <row r="22" spans="1:9">
      <c r="A22" s="1" t="s">
        <v>938</v>
      </c>
      <c r="B22" s="1" t="s">
        <v>16</v>
      </c>
      <c r="C22" s="1">
        <v>319</v>
      </c>
      <c r="D22" s="1">
        <v>149</v>
      </c>
      <c r="E22" s="1" t="s">
        <v>15</v>
      </c>
      <c r="F22" s="1">
        <v>4.0000000000000001E-3</v>
      </c>
      <c r="G22" s="1">
        <v>31.172000000000001</v>
      </c>
      <c r="H22" s="1">
        <v>46.707999999999998</v>
      </c>
      <c r="I22" s="1">
        <v>0.56399999999999995</v>
      </c>
    </row>
    <row r="23" spans="1:9">
      <c r="A23" s="1" t="s">
        <v>188</v>
      </c>
      <c r="B23" s="1" t="s">
        <v>14</v>
      </c>
      <c r="C23" s="1">
        <v>15</v>
      </c>
      <c r="D23" s="1">
        <v>7</v>
      </c>
      <c r="E23" s="1" t="s">
        <v>15</v>
      </c>
      <c r="F23" s="1">
        <v>0.48599999999999999</v>
      </c>
      <c r="G23" s="1">
        <v>1.464</v>
      </c>
      <c r="H23" s="1">
        <v>46.667000000000002</v>
      </c>
      <c r="I23" s="1">
        <v>0.56299999999999994</v>
      </c>
    </row>
    <row r="24" spans="1:9">
      <c r="A24" s="1" t="s">
        <v>939</v>
      </c>
      <c r="B24" s="1" t="s">
        <v>14</v>
      </c>
      <c r="C24" s="1">
        <v>22</v>
      </c>
      <c r="D24" s="1">
        <v>10</v>
      </c>
      <c r="E24" s="1" t="s">
        <v>15</v>
      </c>
      <c r="F24" s="1">
        <v>0.17399999999999999</v>
      </c>
      <c r="G24" s="1">
        <v>2.0920000000000001</v>
      </c>
      <c r="H24" s="1">
        <v>45.454999999999998</v>
      </c>
      <c r="I24" s="1">
        <v>0.53800000000000003</v>
      </c>
    </row>
    <row r="25" spans="1:9">
      <c r="A25" s="1" t="s">
        <v>940</v>
      </c>
      <c r="B25" s="1" t="s">
        <v>16</v>
      </c>
      <c r="C25" s="1">
        <v>368</v>
      </c>
      <c r="D25" s="1">
        <v>167</v>
      </c>
      <c r="E25" s="1" t="s">
        <v>15</v>
      </c>
      <c r="F25" s="1">
        <v>5.2999999999999999E-2</v>
      </c>
      <c r="G25" s="1">
        <v>34.936999999999998</v>
      </c>
      <c r="H25" s="1">
        <v>45.38</v>
      </c>
      <c r="I25" s="1">
        <v>0.53600000000000003</v>
      </c>
    </row>
    <row r="26" spans="1:9">
      <c r="A26" s="1" t="s">
        <v>941</v>
      </c>
      <c r="B26" s="1" t="s">
        <v>16</v>
      </c>
      <c r="C26" s="1">
        <v>395</v>
      </c>
      <c r="D26" s="1">
        <v>179</v>
      </c>
      <c r="E26" s="1" t="s">
        <v>15</v>
      </c>
      <c r="F26" s="1">
        <v>6.0000000000000001E-3</v>
      </c>
      <c r="G26" s="1">
        <v>37.448</v>
      </c>
      <c r="H26" s="1">
        <v>45.316000000000003</v>
      </c>
      <c r="I26" s="1">
        <v>0.53500000000000003</v>
      </c>
    </row>
    <row r="27" spans="1:9">
      <c r="A27" s="1" t="s">
        <v>17</v>
      </c>
      <c r="B27" s="1" t="s">
        <v>16</v>
      </c>
      <c r="C27" s="1">
        <v>402</v>
      </c>
      <c r="D27" s="1">
        <v>181</v>
      </c>
      <c r="E27" s="1" t="s">
        <v>15</v>
      </c>
      <c r="F27" s="1">
        <v>0.02</v>
      </c>
      <c r="G27" s="1">
        <v>37.866</v>
      </c>
      <c r="H27" s="1">
        <v>45.024999999999999</v>
      </c>
      <c r="I27" s="1">
        <v>0.52900000000000003</v>
      </c>
    </row>
    <row r="28" spans="1:9">
      <c r="A28" s="3" t="s">
        <v>942</v>
      </c>
      <c r="B28" s="3" t="s">
        <v>14</v>
      </c>
      <c r="C28" s="3">
        <v>26</v>
      </c>
      <c r="D28" s="3">
        <v>1</v>
      </c>
      <c r="E28" s="3" t="s">
        <v>22</v>
      </c>
      <c r="F28" s="3">
        <v>-7.0999999999999994E-2</v>
      </c>
      <c r="G28" s="3">
        <v>1.4159999999999999</v>
      </c>
      <c r="H28" s="3">
        <v>96.153999999999996</v>
      </c>
      <c r="I28" s="3">
        <v>0.504</v>
      </c>
    </row>
    <row r="29" spans="1:9">
      <c r="A29" s="1" t="s">
        <v>943</v>
      </c>
      <c r="B29" s="1" t="s">
        <v>16</v>
      </c>
      <c r="C29" s="1">
        <v>99</v>
      </c>
      <c r="D29" s="1">
        <v>43</v>
      </c>
      <c r="E29" s="1" t="s">
        <v>15</v>
      </c>
      <c r="F29" s="1">
        <v>-0.248</v>
      </c>
      <c r="G29" s="1">
        <v>8.9960000000000004</v>
      </c>
      <c r="H29" s="1">
        <v>43.433999999999997</v>
      </c>
      <c r="I29" s="1">
        <v>0.495</v>
      </c>
    </row>
    <row r="30" spans="1:9">
      <c r="A30" s="3" t="s">
        <v>944</v>
      </c>
      <c r="B30" s="3" t="s">
        <v>14</v>
      </c>
      <c r="C30" s="3">
        <v>23</v>
      </c>
      <c r="D30" s="3">
        <v>1</v>
      </c>
      <c r="E30" s="3" t="s">
        <v>22</v>
      </c>
      <c r="F30" s="3">
        <v>-0.33800000000000002</v>
      </c>
      <c r="G30" s="3">
        <v>1.246</v>
      </c>
      <c r="H30" s="3">
        <v>95.652000000000001</v>
      </c>
      <c r="I30" s="3">
        <v>0.48499999999999999</v>
      </c>
    </row>
    <row r="31" spans="1:9">
      <c r="A31" s="3" t="s">
        <v>945</v>
      </c>
      <c r="B31" s="3" t="s">
        <v>14</v>
      </c>
      <c r="C31" s="3">
        <v>23</v>
      </c>
      <c r="D31" s="3">
        <v>1</v>
      </c>
      <c r="E31" s="3" t="s">
        <v>22</v>
      </c>
      <c r="F31" s="3">
        <v>-0.02</v>
      </c>
      <c r="G31" s="3">
        <v>1.246</v>
      </c>
      <c r="H31" s="3">
        <v>95.652000000000001</v>
      </c>
      <c r="I31" s="3">
        <v>0.48499999999999999</v>
      </c>
    </row>
    <row r="32" spans="1:9">
      <c r="A32" s="1" t="s">
        <v>946</v>
      </c>
      <c r="B32" s="1" t="s">
        <v>14</v>
      </c>
      <c r="C32" s="1">
        <v>14</v>
      </c>
      <c r="D32" s="1">
        <v>6</v>
      </c>
      <c r="E32" s="1" t="s">
        <v>15</v>
      </c>
      <c r="F32" s="1">
        <v>0.68500000000000005</v>
      </c>
      <c r="G32" s="1">
        <v>1.2549999999999999</v>
      </c>
      <c r="H32" s="1">
        <v>42.856999999999999</v>
      </c>
      <c r="I32" s="1">
        <v>0.48299999999999998</v>
      </c>
    </row>
    <row r="33" spans="1:9">
      <c r="A33" s="1" t="s">
        <v>947</v>
      </c>
      <c r="B33" s="1" t="s">
        <v>16</v>
      </c>
      <c r="C33" s="1">
        <v>54</v>
      </c>
      <c r="D33" s="1">
        <v>22</v>
      </c>
      <c r="E33" s="1" t="s">
        <v>15</v>
      </c>
      <c r="F33" s="1">
        <v>8.4000000000000005E-2</v>
      </c>
      <c r="G33" s="1">
        <v>4.6029999999999998</v>
      </c>
      <c r="H33" s="1">
        <v>40.741</v>
      </c>
      <c r="I33" s="1">
        <v>0.438</v>
      </c>
    </row>
    <row r="34" spans="1:9">
      <c r="A34" s="3" t="s">
        <v>948</v>
      </c>
      <c r="B34" s="3" t="s">
        <v>14</v>
      </c>
      <c r="C34" s="3">
        <v>52</v>
      </c>
      <c r="D34" s="3">
        <v>3</v>
      </c>
      <c r="E34" s="3" t="s">
        <v>22</v>
      </c>
      <c r="F34" s="3">
        <v>-0.23100000000000001</v>
      </c>
      <c r="G34" s="3">
        <v>2.7749999999999999</v>
      </c>
      <c r="H34" s="3">
        <v>94.230999999999995</v>
      </c>
      <c r="I34" s="3">
        <v>0.434</v>
      </c>
    </row>
    <row r="35" spans="1:9">
      <c r="A35" s="3" t="s">
        <v>949</v>
      </c>
      <c r="B35" s="3" t="s">
        <v>16</v>
      </c>
      <c r="C35" s="3">
        <v>102</v>
      </c>
      <c r="D35" s="3">
        <v>6</v>
      </c>
      <c r="E35" s="3" t="s">
        <v>22</v>
      </c>
      <c r="F35" s="3">
        <v>-0.121</v>
      </c>
      <c r="G35" s="3">
        <v>5.4359999999999999</v>
      </c>
      <c r="H35" s="3">
        <v>94.117999999999995</v>
      </c>
      <c r="I35" s="3">
        <v>0.43099999999999999</v>
      </c>
    </row>
    <row r="36" spans="1:9">
      <c r="A36" s="3" t="s">
        <v>950</v>
      </c>
      <c r="B36" s="3" t="s">
        <v>16</v>
      </c>
      <c r="C36" s="3">
        <v>62</v>
      </c>
      <c r="D36" s="3">
        <v>4</v>
      </c>
      <c r="E36" s="3" t="s">
        <v>22</v>
      </c>
      <c r="F36" s="3">
        <v>-0.22</v>
      </c>
      <c r="G36" s="3">
        <v>3.2839999999999998</v>
      </c>
      <c r="H36" s="3">
        <v>93.548000000000002</v>
      </c>
      <c r="I36" s="3">
        <v>0.41099999999999998</v>
      </c>
    </row>
    <row r="37" spans="1:9">
      <c r="A37" s="1" t="s">
        <v>951</v>
      </c>
      <c r="B37" s="1" t="s">
        <v>16</v>
      </c>
      <c r="C37" s="1">
        <v>89</v>
      </c>
      <c r="D37" s="1">
        <v>35</v>
      </c>
      <c r="E37" s="1" t="s">
        <v>15</v>
      </c>
      <c r="F37" s="1">
        <v>-9.6000000000000002E-2</v>
      </c>
      <c r="G37" s="1">
        <v>7.3220000000000001</v>
      </c>
      <c r="H37" s="1">
        <v>39.326000000000001</v>
      </c>
      <c r="I37" s="1">
        <v>0.40799999999999997</v>
      </c>
    </row>
    <row r="38" spans="1:9">
      <c r="A38" s="3" t="s">
        <v>952</v>
      </c>
      <c r="B38" s="3" t="s">
        <v>16</v>
      </c>
      <c r="C38" s="3">
        <v>83</v>
      </c>
      <c r="D38" s="3">
        <v>6</v>
      </c>
      <c r="E38" s="3" t="s">
        <v>22</v>
      </c>
      <c r="F38" s="3">
        <v>-0.26600000000000001</v>
      </c>
      <c r="G38" s="3">
        <v>4.3600000000000003</v>
      </c>
      <c r="H38" s="3">
        <v>92.771000000000001</v>
      </c>
      <c r="I38" s="3">
        <v>0.38600000000000001</v>
      </c>
    </row>
    <row r="39" spans="1:9">
      <c r="A39" s="3" t="s">
        <v>953</v>
      </c>
      <c r="B39" s="3" t="s">
        <v>14</v>
      </c>
      <c r="C39" s="3">
        <v>53</v>
      </c>
      <c r="D39" s="3">
        <v>4</v>
      </c>
      <c r="E39" s="3" t="s">
        <v>22</v>
      </c>
      <c r="F39" s="3">
        <v>-1.4E-2</v>
      </c>
      <c r="G39" s="3">
        <v>2.7749999999999999</v>
      </c>
      <c r="H39" s="3">
        <v>92.453000000000003</v>
      </c>
      <c r="I39" s="3">
        <v>0.376</v>
      </c>
    </row>
    <row r="40" spans="1:9">
      <c r="A40" s="3" t="s">
        <v>954</v>
      </c>
      <c r="B40" s="3" t="s">
        <v>16</v>
      </c>
      <c r="C40" s="3">
        <v>91</v>
      </c>
      <c r="D40" s="3">
        <v>7</v>
      </c>
      <c r="E40" s="3" t="s">
        <v>22</v>
      </c>
      <c r="F40" s="3">
        <v>-0.125</v>
      </c>
      <c r="G40" s="3">
        <v>4.7569999999999997</v>
      </c>
      <c r="H40" s="3">
        <v>92.308000000000007</v>
      </c>
      <c r="I40" s="3">
        <v>0.371</v>
      </c>
    </row>
    <row r="41" spans="1:9">
      <c r="A41" s="1" t="s">
        <v>955</v>
      </c>
      <c r="B41" s="1" t="s">
        <v>14</v>
      </c>
      <c r="C41" s="1">
        <v>16</v>
      </c>
      <c r="D41" s="1">
        <v>6</v>
      </c>
      <c r="E41" s="1" t="s">
        <v>15</v>
      </c>
      <c r="F41" s="1">
        <v>2.8000000000000001E-2</v>
      </c>
      <c r="G41" s="1">
        <v>1.2549999999999999</v>
      </c>
      <c r="H41" s="1">
        <v>37.5</v>
      </c>
      <c r="I41" s="1">
        <v>0.36899999999999999</v>
      </c>
    </row>
    <row r="42" spans="1:9">
      <c r="A42" s="1" t="s">
        <v>956</v>
      </c>
      <c r="B42" s="1" t="s">
        <v>16</v>
      </c>
      <c r="C42" s="1">
        <v>19</v>
      </c>
      <c r="D42" s="1">
        <v>7</v>
      </c>
      <c r="E42" s="1" t="s">
        <v>15</v>
      </c>
      <c r="F42" s="1">
        <v>0.06</v>
      </c>
      <c r="G42" s="1">
        <v>1.464</v>
      </c>
      <c r="H42" s="1">
        <v>36.841999999999999</v>
      </c>
      <c r="I42" s="1">
        <v>0.35499999999999998</v>
      </c>
    </row>
    <row r="43" spans="1:9">
      <c r="A43" s="3" t="s">
        <v>957</v>
      </c>
      <c r="B43" s="3" t="s">
        <v>16</v>
      </c>
      <c r="C43" s="3">
        <v>46</v>
      </c>
      <c r="D43" s="3">
        <v>4</v>
      </c>
      <c r="E43" s="3" t="s">
        <v>22</v>
      </c>
      <c r="F43" s="3">
        <v>-0.184</v>
      </c>
      <c r="G43" s="3">
        <v>2.3780000000000001</v>
      </c>
      <c r="H43" s="3">
        <v>91.304000000000002</v>
      </c>
      <c r="I43" s="3">
        <v>0.34</v>
      </c>
    </row>
    <row r="44" spans="1:9">
      <c r="A44" s="1" t="s">
        <v>958</v>
      </c>
      <c r="B44" s="1" t="s">
        <v>16</v>
      </c>
      <c r="C44" s="1">
        <v>71</v>
      </c>
      <c r="D44" s="1">
        <v>25</v>
      </c>
      <c r="E44" s="1" t="s">
        <v>15</v>
      </c>
      <c r="F44" s="1">
        <v>0.01</v>
      </c>
      <c r="G44" s="1">
        <v>5.23</v>
      </c>
      <c r="H44" s="1">
        <v>35.210999999999999</v>
      </c>
      <c r="I44" s="1">
        <v>0.31900000000000001</v>
      </c>
    </row>
    <row r="45" spans="1:9">
      <c r="A45" s="3" t="s">
        <v>959</v>
      </c>
      <c r="B45" s="3" t="s">
        <v>16</v>
      </c>
      <c r="C45" s="3">
        <v>212</v>
      </c>
      <c r="D45" s="3">
        <v>20</v>
      </c>
      <c r="E45" s="3" t="s">
        <v>22</v>
      </c>
      <c r="F45" s="3">
        <v>-7.8E-2</v>
      </c>
      <c r="G45" s="3">
        <v>10.872</v>
      </c>
      <c r="H45" s="3">
        <v>90.566000000000003</v>
      </c>
      <c r="I45" s="3">
        <v>0.317</v>
      </c>
    </row>
    <row r="46" spans="1:9">
      <c r="A46" s="3" t="s">
        <v>960</v>
      </c>
      <c r="B46" s="3" t="s">
        <v>16</v>
      </c>
      <c r="C46" s="3">
        <v>243</v>
      </c>
      <c r="D46" s="3">
        <v>23</v>
      </c>
      <c r="E46" s="3" t="s">
        <v>22</v>
      </c>
      <c r="F46" s="3">
        <v>-4.5999999999999999E-2</v>
      </c>
      <c r="G46" s="3">
        <v>12.458</v>
      </c>
      <c r="H46" s="3">
        <v>90.534999999999997</v>
      </c>
      <c r="I46" s="3">
        <v>0.316</v>
      </c>
    </row>
    <row r="47" spans="1:9">
      <c r="A47" s="1" t="s">
        <v>961</v>
      </c>
      <c r="B47" s="1" t="s">
        <v>14</v>
      </c>
      <c r="C47" s="1">
        <v>46</v>
      </c>
      <c r="D47" s="1">
        <v>16</v>
      </c>
      <c r="E47" s="1" t="s">
        <v>15</v>
      </c>
      <c r="F47" s="1">
        <v>0.24099999999999999</v>
      </c>
      <c r="G47" s="1">
        <v>3.347</v>
      </c>
      <c r="H47" s="1">
        <v>34.783000000000001</v>
      </c>
      <c r="I47" s="1">
        <v>0.31</v>
      </c>
    </row>
    <row r="48" spans="1:9">
      <c r="A48" s="3" t="s">
        <v>962</v>
      </c>
      <c r="B48" s="3" t="s">
        <v>16</v>
      </c>
      <c r="C48" s="3">
        <v>266</v>
      </c>
      <c r="D48" s="3">
        <v>27</v>
      </c>
      <c r="E48" s="3" t="s">
        <v>22</v>
      </c>
      <c r="F48" s="3">
        <v>-3.5000000000000003E-2</v>
      </c>
      <c r="G48" s="3">
        <v>13.532999999999999</v>
      </c>
      <c r="H48" s="3">
        <v>89.85</v>
      </c>
      <c r="I48" s="3">
        <v>0.29599999999999999</v>
      </c>
    </row>
    <row r="49" spans="1:9">
      <c r="A49" s="3" t="s">
        <v>357</v>
      </c>
      <c r="B49" s="3" t="s">
        <v>16</v>
      </c>
      <c r="C49" s="3">
        <v>374</v>
      </c>
      <c r="D49" s="3">
        <v>38</v>
      </c>
      <c r="E49" s="3" t="s">
        <v>22</v>
      </c>
      <c r="F49" s="3">
        <v>-2.8000000000000001E-2</v>
      </c>
      <c r="G49" s="3">
        <v>19.026</v>
      </c>
      <c r="H49" s="3">
        <v>89.84</v>
      </c>
      <c r="I49" s="3">
        <v>0.29599999999999999</v>
      </c>
    </row>
    <row r="50" spans="1:9">
      <c r="A50" s="3" t="s">
        <v>963</v>
      </c>
      <c r="B50" s="3" t="s">
        <v>16</v>
      </c>
      <c r="C50" s="3">
        <v>251</v>
      </c>
      <c r="D50" s="3">
        <v>27</v>
      </c>
      <c r="E50" s="3" t="s">
        <v>22</v>
      </c>
      <c r="F50" s="3">
        <v>-0.107</v>
      </c>
      <c r="G50" s="3">
        <v>12.683999999999999</v>
      </c>
      <c r="H50" s="3">
        <v>89.242999999999995</v>
      </c>
      <c r="I50" s="3">
        <v>0.27800000000000002</v>
      </c>
    </row>
    <row r="51" spans="1:9">
      <c r="A51" s="3" t="s">
        <v>964</v>
      </c>
      <c r="B51" s="3" t="s">
        <v>16</v>
      </c>
      <c r="C51" s="3">
        <v>490</v>
      </c>
      <c r="D51" s="3">
        <v>53</v>
      </c>
      <c r="E51" s="3" t="s">
        <v>22</v>
      </c>
      <c r="F51" s="3">
        <v>-3.0000000000000001E-3</v>
      </c>
      <c r="G51" s="3">
        <v>24.745000000000001</v>
      </c>
      <c r="H51" s="3">
        <v>89.183999999999997</v>
      </c>
      <c r="I51" s="3">
        <v>0.27700000000000002</v>
      </c>
    </row>
    <row r="52" spans="1:9">
      <c r="A52" s="3" t="s">
        <v>965</v>
      </c>
      <c r="B52" s="3" t="s">
        <v>16</v>
      </c>
      <c r="C52" s="3">
        <v>525</v>
      </c>
      <c r="D52" s="3">
        <v>57</v>
      </c>
      <c r="E52" s="3" t="s">
        <v>22</v>
      </c>
      <c r="F52" s="3">
        <v>-7.0000000000000001E-3</v>
      </c>
      <c r="G52" s="3">
        <v>26.501000000000001</v>
      </c>
      <c r="H52" s="3">
        <v>89.143000000000001</v>
      </c>
      <c r="I52" s="3">
        <v>0.27500000000000002</v>
      </c>
    </row>
    <row r="53" spans="1:9">
      <c r="A53" s="3" t="s">
        <v>966</v>
      </c>
      <c r="B53" s="3" t="s">
        <v>14</v>
      </c>
      <c r="C53" s="3">
        <v>46</v>
      </c>
      <c r="D53" s="3">
        <v>5</v>
      </c>
      <c r="E53" s="3" t="s">
        <v>22</v>
      </c>
      <c r="F53" s="3">
        <v>-9.1999999999999998E-2</v>
      </c>
      <c r="G53" s="3">
        <v>2.3220000000000001</v>
      </c>
      <c r="H53" s="3">
        <v>89.13</v>
      </c>
      <c r="I53" s="3">
        <v>0.27500000000000002</v>
      </c>
    </row>
    <row r="54" spans="1:9">
      <c r="A54" s="3" t="s">
        <v>967</v>
      </c>
      <c r="B54" s="3" t="s">
        <v>14</v>
      </c>
      <c r="C54" s="3">
        <v>45</v>
      </c>
      <c r="D54" s="3">
        <v>5</v>
      </c>
      <c r="E54" s="3" t="s">
        <v>22</v>
      </c>
      <c r="F54" s="3">
        <v>-1.4999999999999999E-2</v>
      </c>
      <c r="G54" s="3">
        <v>2.2650000000000001</v>
      </c>
      <c r="H54" s="3">
        <v>88.888999999999996</v>
      </c>
      <c r="I54" s="3">
        <v>0.26800000000000002</v>
      </c>
    </row>
    <row r="55" spans="1:9">
      <c r="A55" s="3" t="s">
        <v>968</v>
      </c>
      <c r="B55" s="3" t="s">
        <v>16</v>
      </c>
      <c r="C55" s="3">
        <v>431</v>
      </c>
      <c r="D55" s="3">
        <v>50</v>
      </c>
      <c r="E55" s="3" t="s">
        <v>22</v>
      </c>
      <c r="F55" s="3">
        <v>0.154</v>
      </c>
      <c r="G55" s="3">
        <v>21.574000000000002</v>
      </c>
      <c r="H55" s="3">
        <v>88.399000000000001</v>
      </c>
      <c r="I55" s="3">
        <v>0.254</v>
      </c>
    </row>
    <row r="56" spans="1:9">
      <c r="A56" s="3" t="s">
        <v>969</v>
      </c>
      <c r="B56" s="3" t="s">
        <v>16</v>
      </c>
      <c r="C56" s="3">
        <v>268</v>
      </c>
      <c r="D56" s="3">
        <v>33</v>
      </c>
      <c r="E56" s="3" t="s">
        <v>22</v>
      </c>
      <c r="F56" s="3">
        <v>7.0000000000000007E-2</v>
      </c>
      <c r="G56" s="3">
        <v>13.307</v>
      </c>
      <c r="H56" s="3">
        <v>87.686999999999998</v>
      </c>
      <c r="I56" s="3">
        <v>0.23400000000000001</v>
      </c>
    </row>
    <row r="57" spans="1:9">
      <c r="A57" s="1" t="s">
        <v>970</v>
      </c>
      <c r="B57" s="1" t="s">
        <v>14</v>
      </c>
      <c r="C57" s="1">
        <v>48</v>
      </c>
      <c r="D57" s="1">
        <v>15</v>
      </c>
      <c r="E57" s="1" t="s">
        <v>15</v>
      </c>
      <c r="F57" s="1">
        <v>0.18</v>
      </c>
      <c r="G57" s="1">
        <v>3.1379999999999999</v>
      </c>
      <c r="H57" s="1">
        <v>31.25</v>
      </c>
      <c r="I57" s="1">
        <v>0.23200000000000001</v>
      </c>
    </row>
    <row r="58" spans="1:9">
      <c r="A58" s="3" t="s">
        <v>971</v>
      </c>
      <c r="B58" s="3" t="s">
        <v>16</v>
      </c>
      <c r="C58" s="3">
        <v>436</v>
      </c>
      <c r="D58" s="3">
        <v>54</v>
      </c>
      <c r="E58" s="3" t="s">
        <v>22</v>
      </c>
      <c r="F58" s="3">
        <v>0.43099999999999999</v>
      </c>
      <c r="G58" s="3">
        <v>21.631</v>
      </c>
      <c r="H58" s="3">
        <v>87.614999999999995</v>
      </c>
      <c r="I58" s="3">
        <v>0.23200000000000001</v>
      </c>
    </row>
    <row r="59" spans="1:9">
      <c r="A59" s="3" t="s">
        <v>972</v>
      </c>
      <c r="B59" s="3" t="s">
        <v>16</v>
      </c>
      <c r="C59" s="3">
        <v>95</v>
      </c>
      <c r="D59" s="3">
        <v>12</v>
      </c>
      <c r="E59" s="3" t="s">
        <v>22</v>
      </c>
      <c r="F59" s="3">
        <v>-0.22800000000000001</v>
      </c>
      <c r="G59" s="3">
        <v>4.7</v>
      </c>
      <c r="H59" s="3">
        <v>87.367999999999995</v>
      </c>
      <c r="I59" s="3">
        <v>0.22500000000000001</v>
      </c>
    </row>
    <row r="60" spans="1:9">
      <c r="A60" s="1" t="s">
        <v>973</v>
      </c>
      <c r="B60" s="1" t="s">
        <v>14</v>
      </c>
      <c r="C60" s="1">
        <v>39</v>
      </c>
      <c r="D60" s="1">
        <v>12</v>
      </c>
      <c r="E60" s="1" t="s">
        <v>15</v>
      </c>
      <c r="F60" s="1">
        <v>8.4000000000000005E-2</v>
      </c>
      <c r="G60" s="1">
        <v>2.5099999999999998</v>
      </c>
      <c r="H60" s="1">
        <v>30.768999999999998</v>
      </c>
      <c r="I60" s="1">
        <v>0.221</v>
      </c>
    </row>
    <row r="61" spans="1:9">
      <c r="A61" s="3" t="s">
        <v>974</v>
      </c>
      <c r="B61" s="3" t="s">
        <v>14</v>
      </c>
      <c r="C61" s="3">
        <v>211</v>
      </c>
      <c r="D61" s="3">
        <v>27</v>
      </c>
      <c r="E61" s="3" t="s">
        <v>22</v>
      </c>
      <c r="F61" s="3">
        <v>-2.1000000000000001E-2</v>
      </c>
      <c r="G61" s="3">
        <v>10.419</v>
      </c>
      <c r="H61" s="3">
        <v>87.203999999999994</v>
      </c>
      <c r="I61" s="3">
        <v>0.22</v>
      </c>
    </row>
    <row r="62" spans="1:9">
      <c r="A62" s="3" t="s">
        <v>975</v>
      </c>
      <c r="B62" s="3" t="s">
        <v>14</v>
      </c>
      <c r="C62" s="3">
        <v>125</v>
      </c>
      <c r="D62" s="3">
        <v>16</v>
      </c>
      <c r="E62" s="3" t="s">
        <v>22</v>
      </c>
      <c r="F62" s="3">
        <v>-0.13600000000000001</v>
      </c>
      <c r="G62" s="3">
        <v>6.1719999999999997</v>
      </c>
      <c r="H62" s="3">
        <v>87.2</v>
      </c>
      <c r="I62" s="3">
        <v>0.22</v>
      </c>
    </row>
    <row r="63" spans="1:9">
      <c r="A63" s="1" t="s">
        <v>976</v>
      </c>
      <c r="B63" s="1" t="s">
        <v>14</v>
      </c>
      <c r="C63" s="1">
        <v>23</v>
      </c>
      <c r="D63" s="1">
        <v>7</v>
      </c>
      <c r="E63" s="1" t="s">
        <v>15</v>
      </c>
      <c r="F63" s="1">
        <v>0.23100000000000001</v>
      </c>
      <c r="G63" s="1">
        <v>1.464</v>
      </c>
      <c r="H63" s="1">
        <v>30.434999999999999</v>
      </c>
      <c r="I63" s="1">
        <v>0.21299999999999999</v>
      </c>
    </row>
    <row r="64" spans="1:9">
      <c r="A64" s="3" t="s">
        <v>977</v>
      </c>
      <c r="B64" s="3" t="s">
        <v>14</v>
      </c>
      <c r="C64" s="3">
        <v>83</v>
      </c>
      <c r="D64" s="3">
        <v>11</v>
      </c>
      <c r="E64" s="3" t="s">
        <v>22</v>
      </c>
      <c r="F64" s="3">
        <v>-7.0999999999999994E-2</v>
      </c>
      <c r="G64" s="3">
        <v>4.077</v>
      </c>
      <c r="H64" s="3">
        <v>86.747</v>
      </c>
      <c r="I64" s="3">
        <v>0.20799999999999999</v>
      </c>
    </row>
    <row r="65" spans="1:9">
      <c r="A65" s="3" t="s">
        <v>23</v>
      </c>
      <c r="B65" s="3" t="s">
        <v>14</v>
      </c>
      <c r="C65" s="3">
        <v>224</v>
      </c>
      <c r="D65" s="3">
        <v>30</v>
      </c>
      <c r="E65" s="3" t="s">
        <v>22</v>
      </c>
      <c r="F65" s="3">
        <v>-3.5000000000000003E-2</v>
      </c>
      <c r="G65" s="3">
        <v>10.984999999999999</v>
      </c>
      <c r="H65" s="3">
        <v>86.606999999999999</v>
      </c>
      <c r="I65" s="3">
        <v>0.20399999999999999</v>
      </c>
    </row>
    <row r="66" spans="1:9">
      <c r="A66" s="3" t="s">
        <v>71</v>
      </c>
      <c r="B66" s="3" t="s">
        <v>14</v>
      </c>
      <c r="C66" s="3">
        <v>51</v>
      </c>
      <c r="D66" s="3">
        <v>7</v>
      </c>
      <c r="E66" s="3" t="s">
        <v>22</v>
      </c>
      <c r="F66" s="3">
        <v>-8.3000000000000004E-2</v>
      </c>
      <c r="G66" s="3">
        <v>2.492</v>
      </c>
      <c r="H66" s="3">
        <v>86.275000000000006</v>
      </c>
      <c r="I66" s="3">
        <v>0.19500000000000001</v>
      </c>
    </row>
    <row r="67" spans="1:9">
      <c r="A67" s="3" t="s">
        <v>978</v>
      </c>
      <c r="B67" s="3" t="s">
        <v>14</v>
      </c>
      <c r="C67" s="3">
        <v>189</v>
      </c>
      <c r="D67" s="3">
        <v>26</v>
      </c>
      <c r="E67" s="3" t="s">
        <v>22</v>
      </c>
      <c r="F67" s="3">
        <v>-3.6999999999999998E-2</v>
      </c>
      <c r="G67" s="3">
        <v>9.23</v>
      </c>
      <c r="H67" s="3">
        <v>86.242999999999995</v>
      </c>
      <c r="I67" s="3">
        <v>0.19400000000000001</v>
      </c>
    </row>
    <row r="68" spans="1:9">
      <c r="A68" s="1" t="s">
        <v>979</v>
      </c>
      <c r="B68" s="1" t="s">
        <v>14</v>
      </c>
      <c r="C68" s="1">
        <v>61</v>
      </c>
      <c r="D68" s="1">
        <v>18</v>
      </c>
      <c r="E68" s="1" t="s">
        <v>15</v>
      </c>
      <c r="F68" s="1">
        <v>9.0999999999999998E-2</v>
      </c>
      <c r="G68" s="1">
        <v>3.766</v>
      </c>
      <c r="H68" s="1">
        <v>29.507999999999999</v>
      </c>
      <c r="I68" s="1">
        <v>0.193</v>
      </c>
    </row>
    <row r="69" spans="1:9">
      <c r="A69" s="3" t="s">
        <v>980</v>
      </c>
      <c r="B69" s="3" t="s">
        <v>14</v>
      </c>
      <c r="C69" s="3">
        <v>116</v>
      </c>
      <c r="D69" s="3">
        <v>16</v>
      </c>
      <c r="E69" s="3" t="s">
        <v>22</v>
      </c>
      <c r="F69" s="3">
        <v>-0.122</v>
      </c>
      <c r="G69" s="3">
        <v>5.6630000000000003</v>
      </c>
      <c r="H69" s="3">
        <v>86.206999999999994</v>
      </c>
      <c r="I69" s="3">
        <v>0.193</v>
      </c>
    </row>
    <row r="70" spans="1:9">
      <c r="A70" s="1" t="s">
        <v>981</v>
      </c>
      <c r="B70" s="1" t="s">
        <v>14</v>
      </c>
      <c r="C70" s="1">
        <v>31</v>
      </c>
      <c r="D70" s="1">
        <v>9</v>
      </c>
      <c r="E70" s="1" t="s">
        <v>15</v>
      </c>
      <c r="F70" s="1">
        <v>0.51800000000000002</v>
      </c>
      <c r="G70" s="1">
        <v>1.883</v>
      </c>
      <c r="H70" s="1">
        <v>29.032</v>
      </c>
      <c r="I70" s="1">
        <v>0.182</v>
      </c>
    </row>
    <row r="71" spans="1:9">
      <c r="A71" s="3" t="s">
        <v>982</v>
      </c>
      <c r="B71" s="3" t="s">
        <v>14</v>
      </c>
      <c r="C71" s="3">
        <v>42</v>
      </c>
      <c r="D71" s="3">
        <v>6</v>
      </c>
      <c r="E71" s="3" t="s">
        <v>22</v>
      </c>
      <c r="F71" s="3">
        <v>-7.4999999999999997E-2</v>
      </c>
      <c r="G71" s="3">
        <v>2.0390000000000001</v>
      </c>
      <c r="H71" s="3">
        <v>85.713999999999999</v>
      </c>
      <c r="I71" s="3">
        <v>0.18</v>
      </c>
    </row>
    <row r="72" spans="1:9">
      <c r="A72" s="1" t="s">
        <v>983</v>
      </c>
      <c r="B72" s="1" t="s">
        <v>14</v>
      </c>
      <c r="C72" s="1">
        <v>46</v>
      </c>
      <c r="D72" s="1">
        <v>13</v>
      </c>
      <c r="E72" s="1" t="s">
        <v>15</v>
      </c>
      <c r="F72" s="1">
        <v>9.8000000000000004E-2</v>
      </c>
      <c r="G72" s="1">
        <v>2.72</v>
      </c>
      <c r="H72" s="1">
        <v>28.260999999999999</v>
      </c>
      <c r="I72" s="1">
        <v>0.16400000000000001</v>
      </c>
    </row>
    <row r="73" spans="1:9">
      <c r="A73" s="1" t="s">
        <v>984</v>
      </c>
      <c r="B73" s="1" t="s">
        <v>16</v>
      </c>
      <c r="C73" s="1">
        <v>179</v>
      </c>
      <c r="D73" s="1">
        <v>50</v>
      </c>
      <c r="E73" s="1" t="s">
        <v>15</v>
      </c>
      <c r="F73" s="1">
        <v>2.5999999999999999E-2</v>
      </c>
      <c r="G73" s="1">
        <v>10.46</v>
      </c>
      <c r="H73" s="1">
        <v>27.933</v>
      </c>
      <c r="I73" s="1">
        <v>0.157</v>
      </c>
    </row>
    <row r="74" spans="1:9">
      <c r="A74" s="1" t="s">
        <v>985</v>
      </c>
      <c r="B74" s="1" t="s">
        <v>14</v>
      </c>
      <c r="C74" s="1">
        <v>111</v>
      </c>
      <c r="D74" s="1">
        <v>31</v>
      </c>
      <c r="E74" s="1" t="s">
        <v>15</v>
      </c>
      <c r="F74" s="1">
        <v>8.2000000000000003E-2</v>
      </c>
      <c r="G74" s="1">
        <v>6.4850000000000003</v>
      </c>
      <c r="H74" s="1">
        <v>27.928000000000001</v>
      </c>
      <c r="I74" s="1">
        <v>0.157</v>
      </c>
    </row>
    <row r="75" spans="1:9">
      <c r="A75" s="1" t="s">
        <v>986</v>
      </c>
      <c r="B75" s="1" t="s">
        <v>14</v>
      </c>
      <c r="C75" s="1">
        <v>320</v>
      </c>
      <c r="D75" s="1">
        <v>89</v>
      </c>
      <c r="E75" s="1" t="s">
        <v>15</v>
      </c>
      <c r="F75" s="1">
        <v>0.03</v>
      </c>
      <c r="G75" s="1">
        <v>18.619</v>
      </c>
      <c r="H75" s="1">
        <v>27.812000000000001</v>
      </c>
      <c r="I75" s="1">
        <v>0.154</v>
      </c>
    </row>
    <row r="76" spans="1:9">
      <c r="A76" s="1" t="s">
        <v>987</v>
      </c>
      <c r="B76" s="1" t="s">
        <v>14</v>
      </c>
      <c r="C76" s="1">
        <v>180</v>
      </c>
      <c r="D76" s="1">
        <v>50</v>
      </c>
      <c r="E76" s="1" t="s">
        <v>15</v>
      </c>
      <c r="F76" s="1">
        <v>5.8999999999999997E-2</v>
      </c>
      <c r="G76" s="1">
        <v>10.46</v>
      </c>
      <c r="H76" s="1">
        <v>27.777999999999999</v>
      </c>
      <c r="I76" s="1">
        <v>0.153</v>
      </c>
    </row>
    <row r="77" spans="1:9">
      <c r="A77" s="1" t="s">
        <v>988</v>
      </c>
      <c r="B77" s="1" t="s">
        <v>14</v>
      </c>
      <c r="C77" s="1">
        <v>51</v>
      </c>
      <c r="D77" s="1">
        <v>14</v>
      </c>
      <c r="E77" s="1" t="s">
        <v>15</v>
      </c>
      <c r="F77" s="1">
        <v>0.47699999999999998</v>
      </c>
      <c r="G77" s="1">
        <v>2.9289999999999998</v>
      </c>
      <c r="H77" s="1">
        <v>27.451000000000001</v>
      </c>
      <c r="I77" s="1">
        <v>0.14599999999999999</v>
      </c>
    </row>
    <row r="78" spans="1:9">
      <c r="A78" s="3" t="s">
        <v>989</v>
      </c>
      <c r="B78" s="3" t="s">
        <v>14</v>
      </c>
      <c r="C78" s="3">
        <v>109</v>
      </c>
      <c r="D78" s="3">
        <v>17</v>
      </c>
      <c r="E78" s="3" t="s">
        <v>22</v>
      </c>
      <c r="F78" s="3">
        <v>-0.185</v>
      </c>
      <c r="G78" s="3">
        <v>5.21</v>
      </c>
      <c r="H78" s="3">
        <v>84.403999999999996</v>
      </c>
      <c r="I78" s="3">
        <v>0.14499999999999999</v>
      </c>
    </row>
    <row r="79" spans="1:9">
      <c r="A79" s="1" t="s">
        <v>990</v>
      </c>
      <c r="B79" s="1" t="s">
        <v>14</v>
      </c>
      <c r="C79" s="1">
        <v>311</v>
      </c>
      <c r="D79" s="1">
        <v>85</v>
      </c>
      <c r="E79" s="1" t="s">
        <v>15</v>
      </c>
      <c r="F79" s="1">
        <v>2.4E-2</v>
      </c>
      <c r="G79" s="1">
        <v>17.782</v>
      </c>
      <c r="H79" s="1">
        <v>27.331</v>
      </c>
      <c r="I79" s="1">
        <v>0.14299999999999999</v>
      </c>
    </row>
    <row r="80" spans="1:9">
      <c r="A80" s="3" t="s">
        <v>991</v>
      </c>
      <c r="B80" s="3" t="s">
        <v>14</v>
      </c>
      <c r="C80" s="3">
        <v>242</v>
      </c>
      <c r="D80" s="3">
        <v>38</v>
      </c>
      <c r="E80" s="3" t="s">
        <v>22</v>
      </c>
      <c r="F80" s="3">
        <v>-5.8999999999999997E-2</v>
      </c>
      <c r="G80" s="3">
        <v>11.552</v>
      </c>
      <c r="H80" s="3">
        <v>84.298000000000002</v>
      </c>
      <c r="I80" s="3">
        <v>0.14199999999999999</v>
      </c>
    </row>
    <row r="81" spans="1:9">
      <c r="A81" s="1" t="s">
        <v>992</v>
      </c>
      <c r="B81" s="1" t="s">
        <v>14</v>
      </c>
      <c r="C81" s="1">
        <v>55</v>
      </c>
      <c r="D81" s="1">
        <v>15</v>
      </c>
      <c r="E81" s="1" t="s">
        <v>15</v>
      </c>
      <c r="F81" s="1">
        <v>0.14799999999999999</v>
      </c>
      <c r="G81" s="1">
        <v>3.1379999999999999</v>
      </c>
      <c r="H81" s="1">
        <v>27.273</v>
      </c>
      <c r="I81" s="1">
        <v>0.14099999999999999</v>
      </c>
    </row>
    <row r="82" spans="1:9">
      <c r="A82" s="1" t="s">
        <v>993</v>
      </c>
      <c r="B82" s="1" t="s">
        <v>14</v>
      </c>
      <c r="C82" s="1">
        <v>311</v>
      </c>
      <c r="D82" s="1">
        <v>84</v>
      </c>
      <c r="E82" s="1" t="s">
        <v>15</v>
      </c>
      <c r="F82" s="1">
        <v>1.7000000000000001E-2</v>
      </c>
      <c r="G82" s="1">
        <v>17.573</v>
      </c>
      <c r="H82" s="1">
        <v>27.01</v>
      </c>
      <c r="I82" s="1">
        <v>0.13500000000000001</v>
      </c>
    </row>
    <row r="83" spans="1:9">
      <c r="A83" s="3" t="s">
        <v>994</v>
      </c>
      <c r="B83" s="3" t="s">
        <v>14</v>
      </c>
      <c r="C83" s="3">
        <v>298</v>
      </c>
      <c r="D83" s="3">
        <v>48</v>
      </c>
      <c r="E83" s="3" t="s">
        <v>22</v>
      </c>
      <c r="F83" s="3">
        <v>-0.04</v>
      </c>
      <c r="G83" s="3">
        <v>14.156000000000001</v>
      </c>
      <c r="H83" s="3">
        <v>83.893000000000001</v>
      </c>
      <c r="I83" s="3">
        <v>0.13100000000000001</v>
      </c>
    </row>
    <row r="84" spans="1:9">
      <c r="A84" s="1" t="s">
        <v>995</v>
      </c>
      <c r="B84" s="1" t="s">
        <v>14</v>
      </c>
      <c r="C84" s="1">
        <v>112</v>
      </c>
      <c r="D84" s="1">
        <v>30</v>
      </c>
      <c r="E84" s="1" t="s">
        <v>15</v>
      </c>
      <c r="F84" s="1">
        <v>2.5999999999999999E-2</v>
      </c>
      <c r="G84" s="1">
        <v>6.2759999999999998</v>
      </c>
      <c r="H84" s="1">
        <v>26.786000000000001</v>
      </c>
      <c r="I84" s="1">
        <v>0.13</v>
      </c>
    </row>
    <row r="85" spans="1:9">
      <c r="A85" s="1" t="s">
        <v>996</v>
      </c>
      <c r="B85" s="1" t="s">
        <v>14</v>
      </c>
      <c r="C85" s="1">
        <v>127</v>
      </c>
      <c r="D85" s="1">
        <v>34</v>
      </c>
      <c r="E85" s="1" t="s">
        <v>15</v>
      </c>
      <c r="F85" s="1">
        <v>2.7E-2</v>
      </c>
      <c r="G85" s="1">
        <v>7.1130000000000004</v>
      </c>
      <c r="H85" s="1">
        <v>26.771999999999998</v>
      </c>
      <c r="I85" s="1">
        <v>0.13</v>
      </c>
    </row>
    <row r="86" spans="1:9">
      <c r="A86" s="3" t="s">
        <v>997</v>
      </c>
      <c r="B86" s="3" t="s">
        <v>16</v>
      </c>
      <c r="C86" s="3">
        <v>135</v>
      </c>
      <c r="D86" s="3">
        <v>22</v>
      </c>
      <c r="E86" s="3" t="s">
        <v>22</v>
      </c>
      <c r="F86" s="3">
        <v>0.193</v>
      </c>
      <c r="G86" s="3">
        <v>6.399</v>
      </c>
      <c r="H86" s="3">
        <v>83.703999999999994</v>
      </c>
      <c r="I86" s="3">
        <v>0.126</v>
      </c>
    </row>
    <row r="87" spans="1:9">
      <c r="A87" s="3" t="s">
        <v>998</v>
      </c>
      <c r="B87" s="3" t="s">
        <v>16</v>
      </c>
      <c r="C87" s="3">
        <v>164</v>
      </c>
      <c r="D87" s="3">
        <v>27</v>
      </c>
      <c r="E87" s="3" t="s">
        <v>22</v>
      </c>
      <c r="F87" s="3">
        <v>0.09</v>
      </c>
      <c r="G87" s="3">
        <v>7.758</v>
      </c>
      <c r="H87" s="3">
        <v>83.537000000000006</v>
      </c>
      <c r="I87" s="3">
        <v>0.122</v>
      </c>
    </row>
    <row r="88" spans="1:9">
      <c r="A88" s="1" t="s">
        <v>999</v>
      </c>
      <c r="B88" s="1" t="s">
        <v>14</v>
      </c>
      <c r="C88" s="1">
        <v>125</v>
      </c>
      <c r="D88" s="1">
        <v>33</v>
      </c>
      <c r="E88" s="1" t="s">
        <v>15</v>
      </c>
      <c r="F88" s="1">
        <v>2.9000000000000001E-2</v>
      </c>
      <c r="G88" s="1">
        <v>6.9039999999999999</v>
      </c>
      <c r="H88" s="1">
        <v>26.4</v>
      </c>
      <c r="I88" s="1">
        <v>0.121</v>
      </c>
    </row>
    <row r="89" spans="1:9">
      <c r="A89" s="3" t="s">
        <v>1000</v>
      </c>
      <c r="B89" s="3" t="s">
        <v>14</v>
      </c>
      <c r="C89" s="3">
        <v>306</v>
      </c>
      <c r="D89" s="3">
        <v>51</v>
      </c>
      <c r="E89" s="3" t="s">
        <v>22</v>
      </c>
      <c r="F89" s="3">
        <v>-3.0000000000000001E-3</v>
      </c>
      <c r="G89" s="3">
        <v>14.439</v>
      </c>
      <c r="H89" s="3">
        <v>83.332999999999998</v>
      </c>
      <c r="I89" s="3">
        <v>0.11700000000000001</v>
      </c>
    </row>
    <row r="90" spans="1:9">
      <c r="A90" s="3" t="s">
        <v>1001</v>
      </c>
      <c r="B90" s="3" t="s">
        <v>14</v>
      </c>
      <c r="C90" s="3">
        <v>66</v>
      </c>
      <c r="D90" s="3">
        <v>11</v>
      </c>
      <c r="E90" s="3" t="s">
        <v>22</v>
      </c>
      <c r="F90" s="3">
        <v>-0.25800000000000001</v>
      </c>
      <c r="G90" s="3">
        <v>3.1139999999999999</v>
      </c>
      <c r="H90" s="3">
        <v>83.332999999999998</v>
      </c>
      <c r="I90" s="3">
        <v>0.11700000000000001</v>
      </c>
    </row>
    <row r="91" spans="1:9">
      <c r="A91" s="1" t="s">
        <v>1002</v>
      </c>
      <c r="B91" s="1" t="s">
        <v>14</v>
      </c>
      <c r="C91" s="1">
        <v>42</v>
      </c>
      <c r="D91" s="1">
        <v>11</v>
      </c>
      <c r="E91" s="1" t="s">
        <v>15</v>
      </c>
      <c r="F91" s="1">
        <v>8.1000000000000003E-2</v>
      </c>
      <c r="G91" s="1">
        <v>2.3010000000000002</v>
      </c>
      <c r="H91" s="1">
        <v>26.19</v>
      </c>
      <c r="I91" s="1">
        <v>0.11600000000000001</v>
      </c>
    </row>
    <row r="92" spans="1:9">
      <c r="A92" s="3" t="s">
        <v>1003</v>
      </c>
      <c r="B92" s="3" t="s">
        <v>14</v>
      </c>
      <c r="C92" s="3">
        <v>267</v>
      </c>
      <c r="D92" s="3">
        <v>45</v>
      </c>
      <c r="E92" s="3" t="s">
        <v>22</v>
      </c>
      <c r="F92" s="3">
        <v>-0.185</v>
      </c>
      <c r="G92" s="3">
        <v>12.571</v>
      </c>
      <c r="H92" s="3">
        <v>83.146000000000001</v>
      </c>
      <c r="I92" s="3">
        <v>0.112</v>
      </c>
    </row>
    <row r="93" spans="1:9">
      <c r="A93" s="1" t="s">
        <v>1004</v>
      </c>
      <c r="B93" s="1" t="s">
        <v>16</v>
      </c>
      <c r="C93" s="1">
        <v>89</v>
      </c>
      <c r="D93" s="1">
        <v>23</v>
      </c>
      <c r="E93" s="1" t="s">
        <v>15</v>
      </c>
      <c r="F93" s="1">
        <v>6.6000000000000003E-2</v>
      </c>
      <c r="G93" s="1">
        <v>4.8120000000000003</v>
      </c>
      <c r="H93" s="1">
        <v>25.843</v>
      </c>
      <c r="I93" s="1">
        <v>0.108</v>
      </c>
    </row>
    <row r="94" spans="1:9">
      <c r="A94" s="1" t="s">
        <v>1005</v>
      </c>
      <c r="B94" s="1" t="s">
        <v>14</v>
      </c>
      <c r="C94" s="1">
        <v>182</v>
      </c>
      <c r="D94" s="1">
        <v>47</v>
      </c>
      <c r="E94" s="1" t="s">
        <v>15</v>
      </c>
      <c r="F94" s="1">
        <v>8.9999999999999993E-3</v>
      </c>
      <c r="G94" s="1">
        <v>9.8330000000000002</v>
      </c>
      <c r="H94" s="1">
        <v>25.824000000000002</v>
      </c>
      <c r="I94" s="1">
        <v>0.108</v>
      </c>
    </row>
    <row r="95" spans="1:9">
      <c r="A95" s="1" t="s">
        <v>1006</v>
      </c>
      <c r="B95" s="1" t="s">
        <v>16</v>
      </c>
      <c r="C95" s="1">
        <v>31</v>
      </c>
      <c r="D95" s="1">
        <v>8</v>
      </c>
      <c r="E95" s="1" t="s">
        <v>15</v>
      </c>
      <c r="F95" s="1">
        <v>0.30299999999999999</v>
      </c>
      <c r="G95" s="1">
        <v>1.6739999999999999</v>
      </c>
      <c r="H95" s="1">
        <v>25.806000000000001</v>
      </c>
      <c r="I95" s="1">
        <v>0.107</v>
      </c>
    </row>
    <row r="96" spans="1:9">
      <c r="A96" s="3" t="s">
        <v>1007</v>
      </c>
      <c r="B96" s="3" t="s">
        <v>16</v>
      </c>
      <c r="C96" s="3">
        <v>369</v>
      </c>
      <c r="D96" s="3">
        <v>64</v>
      </c>
      <c r="E96" s="3" t="s">
        <v>22</v>
      </c>
      <c r="F96" s="3">
        <v>-5.8000000000000003E-2</v>
      </c>
      <c r="G96" s="3">
        <v>17.271000000000001</v>
      </c>
      <c r="H96" s="3">
        <v>82.656000000000006</v>
      </c>
      <c r="I96" s="3">
        <v>9.9000000000000005E-2</v>
      </c>
    </row>
    <row r="97" spans="1:9">
      <c r="A97" s="1" t="s">
        <v>1008</v>
      </c>
      <c r="B97" s="1" t="s">
        <v>16</v>
      </c>
      <c r="C97" s="1">
        <v>142</v>
      </c>
      <c r="D97" s="1">
        <v>36</v>
      </c>
      <c r="E97" s="1" t="s">
        <v>15</v>
      </c>
      <c r="F97" s="1">
        <v>0.16800000000000001</v>
      </c>
      <c r="G97" s="1">
        <v>7.5309999999999997</v>
      </c>
      <c r="H97" s="1">
        <v>25.352</v>
      </c>
      <c r="I97" s="1">
        <v>9.7000000000000003E-2</v>
      </c>
    </row>
    <row r="98" spans="1:9">
      <c r="A98" s="3" t="s">
        <v>1009</v>
      </c>
      <c r="B98" s="3" t="s">
        <v>16</v>
      </c>
      <c r="C98" s="3">
        <v>384</v>
      </c>
      <c r="D98" s="3">
        <v>67</v>
      </c>
      <c r="E98" s="3" t="s">
        <v>22</v>
      </c>
      <c r="F98" s="3">
        <v>-0.107</v>
      </c>
      <c r="G98" s="3">
        <v>17.95</v>
      </c>
      <c r="H98" s="3">
        <v>82.552000000000007</v>
      </c>
      <c r="I98" s="3">
        <v>9.6000000000000002E-2</v>
      </c>
    </row>
    <row r="99" spans="1:9">
      <c r="A99" s="1" t="s">
        <v>1010</v>
      </c>
      <c r="B99" s="1" t="s">
        <v>14</v>
      </c>
      <c r="C99" s="1">
        <v>262</v>
      </c>
      <c r="D99" s="1">
        <v>66</v>
      </c>
      <c r="E99" s="1" t="s">
        <v>15</v>
      </c>
      <c r="F99" s="1">
        <v>3.1E-2</v>
      </c>
      <c r="G99" s="1">
        <v>13.808</v>
      </c>
      <c r="H99" s="1">
        <v>25.190999999999999</v>
      </c>
      <c r="I99" s="1">
        <v>9.2999999999999999E-2</v>
      </c>
    </row>
    <row r="100" spans="1:9">
      <c r="A100" s="3" t="s">
        <v>1011</v>
      </c>
      <c r="B100" s="3" t="s">
        <v>14</v>
      </c>
      <c r="C100" s="3">
        <v>91</v>
      </c>
      <c r="D100" s="3">
        <v>16</v>
      </c>
      <c r="E100" s="3" t="s">
        <v>22</v>
      </c>
      <c r="F100" s="3">
        <v>-0.126</v>
      </c>
      <c r="G100" s="3">
        <v>4.2469999999999999</v>
      </c>
      <c r="H100" s="3">
        <v>82.418000000000006</v>
      </c>
      <c r="I100" s="3">
        <v>9.2999999999999999E-2</v>
      </c>
    </row>
    <row r="101" spans="1:9">
      <c r="A101" s="3" t="s">
        <v>1012</v>
      </c>
      <c r="B101" s="3" t="s">
        <v>14</v>
      </c>
      <c r="C101" s="3">
        <v>136</v>
      </c>
      <c r="D101" s="3">
        <v>24</v>
      </c>
      <c r="E101" s="3" t="s">
        <v>22</v>
      </c>
      <c r="F101" s="3">
        <v>-0.53200000000000003</v>
      </c>
      <c r="G101" s="3">
        <v>6.3419999999999996</v>
      </c>
      <c r="H101" s="3">
        <v>82.352999999999994</v>
      </c>
      <c r="I101" s="3">
        <v>9.0999999999999998E-2</v>
      </c>
    </row>
    <row r="102" spans="1:9">
      <c r="A102" s="1" t="s">
        <v>1013</v>
      </c>
      <c r="B102" s="1" t="s">
        <v>14</v>
      </c>
      <c r="C102" s="1">
        <v>950</v>
      </c>
      <c r="D102" s="1">
        <v>238</v>
      </c>
      <c r="E102" s="1" t="s">
        <v>15</v>
      </c>
      <c r="F102" s="1">
        <v>1.7000000000000001E-2</v>
      </c>
      <c r="G102" s="1">
        <v>49.790999999999997</v>
      </c>
      <c r="H102" s="1">
        <v>25.053000000000001</v>
      </c>
      <c r="I102" s="1">
        <v>0.09</v>
      </c>
    </row>
    <row r="103" spans="1:9">
      <c r="A103" s="1" t="s">
        <v>1014</v>
      </c>
      <c r="B103" s="1" t="s">
        <v>16</v>
      </c>
      <c r="C103" s="1">
        <v>264</v>
      </c>
      <c r="D103" s="1">
        <v>66</v>
      </c>
      <c r="E103" s="1" t="s">
        <v>15</v>
      </c>
      <c r="F103" s="1">
        <v>1.2999999999999999E-2</v>
      </c>
      <c r="G103" s="1">
        <v>13.808</v>
      </c>
      <c r="H103" s="1">
        <v>25</v>
      </c>
      <c r="I103" s="1">
        <v>8.8999999999999996E-2</v>
      </c>
    </row>
    <row r="104" spans="1:9">
      <c r="A104" s="1" t="s">
        <v>1015</v>
      </c>
      <c r="B104" s="1" t="s">
        <v>14</v>
      </c>
      <c r="C104" s="1">
        <v>24</v>
      </c>
      <c r="D104" s="1">
        <v>6</v>
      </c>
      <c r="E104" s="1" t="s">
        <v>15</v>
      </c>
      <c r="F104" s="1">
        <v>8.9999999999999993E-3</v>
      </c>
      <c r="G104" s="1">
        <v>1.2549999999999999</v>
      </c>
      <c r="H104" s="1">
        <v>25</v>
      </c>
      <c r="I104" s="1">
        <v>8.8999999999999996E-2</v>
      </c>
    </row>
    <row r="105" spans="1:9">
      <c r="A105" s="3" t="s">
        <v>1016</v>
      </c>
      <c r="B105" s="3" t="s">
        <v>16</v>
      </c>
      <c r="C105" s="3">
        <v>360</v>
      </c>
      <c r="D105" s="3">
        <v>64</v>
      </c>
      <c r="E105" s="3" t="s">
        <v>22</v>
      </c>
      <c r="F105" s="3">
        <v>-0.14399999999999999</v>
      </c>
      <c r="G105" s="3">
        <v>16.760999999999999</v>
      </c>
      <c r="H105" s="3">
        <v>82.221999999999994</v>
      </c>
      <c r="I105" s="3">
        <v>8.7999999999999995E-2</v>
      </c>
    </row>
    <row r="106" spans="1:9">
      <c r="A106" s="1" t="s">
        <v>1017</v>
      </c>
      <c r="B106" s="1" t="s">
        <v>14</v>
      </c>
      <c r="C106" s="1">
        <v>298</v>
      </c>
      <c r="D106" s="1">
        <v>74</v>
      </c>
      <c r="E106" s="1" t="s">
        <v>15</v>
      </c>
      <c r="F106" s="1">
        <v>8.9999999999999993E-3</v>
      </c>
      <c r="G106" s="1">
        <v>15.481</v>
      </c>
      <c r="H106" s="1">
        <v>24.832000000000001</v>
      </c>
      <c r="I106" s="1">
        <v>8.5000000000000006E-2</v>
      </c>
    </row>
    <row r="107" spans="1:9">
      <c r="A107" s="3" t="s">
        <v>1018</v>
      </c>
      <c r="B107" s="3" t="s">
        <v>14</v>
      </c>
      <c r="C107" s="3">
        <v>78</v>
      </c>
      <c r="D107" s="3">
        <v>14</v>
      </c>
      <c r="E107" s="3" t="s">
        <v>22</v>
      </c>
      <c r="F107" s="3">
        <v>-0.33600000000000002</v>
      </c>
      <c r="G107" s="3">
        <v>3.6240000000000001</v>
      </c>
      <c r="H107" s="3">
        <v>82.051000000000002</v>
      </c>
      <c r="I107" s="3">
        <v>8.4000000000000005E-2</v>
      </c>
    </row>
    <row r="108" spans="1:9">
      <c r="A108" s="1" t="s">
        <v>1019</v>
      </c>
      <c r="B108" s="1" t="s">
        <v>14</v>
      </c>
      <c r="C108" s="1">
        <v>872</v>
      </c>
      <c r="D108" s="1">
        <v>216</v>
      </c>
      <c r="E108" s="1" t="s">
        <v>15</v>
      </c>
      <c r="F108" s="1">
        <v>0.02</v>
      </c>
      <c r="G108" s="1">
        <v>45.188000000000002</v>
      </c>
      <c r="H108" s="1">
        <v>24.771000000000001</v>
      </c>
      <c r="I108" s="1">
        <v>8.3000000000000004E-2</v>
      </c>
    </row>
    <row r="109" spans="1:9">
      <c r="A109" s="1" t="s">
        <v>1020</v>
      </c>
      <c r="B109" s="1" t="s">
        <v>14</v>
      </c>
      <c r="C109" s="1">
        <v>913</v>
      </c>
      <c r="D109" s="1">
        <v>225</v>
      </c>
      <c r="E109" s="1" t="s">
        <v>15</v>
      </c>
      <c r="F109" s="1">
        <v>6.9000000000000006E-2</v>
      </c>
      <c r="G109" s="1">
        <v>47.070999999999998</v>
      </c>
      <c r="H109" s="1">
        <v>24.643999999999998</v>
      </c>
      <c r="I109" s="1">
        <v>0.08</v>
      </c>
    </row>
    <row r="110" spans="1:9">
      <c r="A110" s="3" t="s">
        <v>1021</v>
      </c>
      <c r="B110" s="3" t="s">
        <v>16</v>
      </c>
      <c r="C110" s="3">
        <v>386</v>
      </c>
      <c r="D110" s="3">
        <v>70</v>
      </c>
      <c r="E110" s="3" t="s">
        <v>22</v>
      </c>
      <c r="F110" s="3">
        <v>-5.5E-2</v>
      </c>
      <c r="G110" s="3">
        <v>17.893999999999998</v>
      </c>
      <c r="H110" s="3">
        <v>81.864999999999995</v>
      </c>
      <c r="I110" s="3">
        <v>7.9000000000000001E-2</v>
      </c>
    </row>
    <row r="111" spans="1:9">
      <c r="A111" s="1" t="s">
        <v>1022</v>
      </c>
      <c r="B111" s="1" t="s">
        <v>14</v>
      </c>
      <c r="C111" s="1">
        <v>175</v>
      </c>
      <c r="D111" s="1">
        <v>43</v>
      </c>
      <c r="E111" s="1" t="s">
        <v>15</v>
      </c>
      <c r="F111" s="1">
        <v>0.03</v>
      </c>
      <c r="G111" s="1">
        <v>8.9960000000000004</v>
      </c>
      <c r="H111" s="1">
        <v>24.571000000000002</v>
      </c>
      <c r="I111" s="1">
        <v>7.8E-2</v>
      </c>
    </row>
    <row r="112" spans="1:9">
      <c r="A112" s="1" t="s">
        <v>1023</v>
      </c>
      <c r="B112" s="1" t="s">
        <v>14</v>
      </c>
      <c r="C112" s="1">
        <v>708</v>
      </c>
      <c r="D112" s="1">
        <v>173</v>
      </c>
      <c r="E112" s="1" t="s">
        <v>15</v>
      </c>
      <c r="F112" s="1">
        <v>1.7999999999999999E-2</v>
      </c>
      <c r="G112" s="1">
        <v>36.192</v>
      </c>
      <c r="H112" s="1">
        <v>24.434999999999999</v>
      </c>
      <c r="I112" s="1">
        <v>7.4999999999999997E-2</v>
      </c>
    </row>
    <row r="113" spans="1:9">
      <c r="A113" s="1" t="s">
        <v>1024</v>
      </c>
      <c r="B113" s="1" t="s">
        <v>14</v>
      </c>
      <c r="C113" s="1">
        <v>448</v>
      </c>
      <c r="D113" s="1">
        <v>109</v>
      </c>
      <c r="E113" s="1" t="s">
        <v>15</v>
      </c>
      <c r="F113" s="1">
        <v>3.3000000000000002E-2</v>
      </c>
      <c r="G113" s="1">
        <v>22.803000000000001</v>
      </c>
      <c r="H113" s="1">
        <v>24.33</v>
      </c>
      <c r="I113" s="1">
        <v>7.2999999999999995E-2</v>
      </c>
    </row>
    <row r="114" spans="1:9">
      <c r="A114" s="1" t="s">
        <v>300</v>
      </c>
      <c r="B114" s="1" t="s">
        <v>14</v>
      </c>
      <c r="C114" s="1">
        <v>1002</v>
      </c>
      <c r="D114" s="1">
        <v>243</v>
      </c>
      <c r="E114" s="1" t="s">
        <v>15</v>
      </c>
      <c r="F114" s="1">
        <v>7.0000000000000001E-3</v>
      </c>
      <c r="G114" s="1">
        <v>50.837000000000003</v>
      </c>
      <c r="H114" s="1">
        <v>24.251000000000001</v>
      </c>
      <c r="I114" s="1">
        <v>7.0999999999999994E-2</v>
      </c>
    </row>
    <row r="115" spans="1:9">
      <c r="A115" s="1" t="s">
        <v>1025</v>
      </c>
      <c r="B115" s="1" t="s">
        <v>16</v>
      </c>
      <c r="C115" s="1">
        <v>33</v>
      </c>
      <c r="D115" s="1">
        <v>8</v>
      </c>
      <c r="E115" s="1" t="s">
        <v>15</v>
      </c>
      <c r="F115" s="1">
        <v>0.17699999999999999</v>
      </c>
      <c r="G115" s="1">
        <v>1.6739999999999999</v>
      </c>
      <c r="H115" s="1">
        <v>24.242000000000001</v>
      </c>
      <c r="I115" s="1">
        <v>7.0999999999999994E-2</v>
      </c>
    </row>
    <row r="116" spans="1:9">
      <c r="A116" s="1" t="s">
        <v>1026</v>
      </c>
      <c r="B116" s="1" t="s">
        <v>14</v>
      </c>
      <c r="C116" s="1">
        <v>609</v>
      </c>
      <c r="D116" s="1">
        <v>147</v>
      </c>
      <c r="E116" s="1" t="s">
        <v>15</v>
      </c>
      <c r="F116" s="1">
        <v>1.0999999999999999E-2</v>
      </c>
      <c r="G116" s="1">
        <v>30.753</v>
      </c>
      <c r="H116" s="1">
        <v>24.138000000000002</v>
      </c>
      <c r="I116" s="1">
        <v>6.8000000000000005E-2</v>
      </c>
    </row>
    <row r="117" spans="1:9">
      <c r="A117" s="1" t="s">
        <v>1027</v>
      </c>
      <c r="B117" s="1" t="s">
        <v>16</v>
      </c>
      <c r="C117" s="1">
        <v>283</v>
      </c>
      <c r="D117" s="1">
        <v>68</v>
      </c>
      <c r="E117" s="1" t="s">
        <v>15</v>
      </c>
      <c r="F117" s="1">
        <v>0.03</v>
      </c>
      <c r="G117" s="1">
        <v>14.226000000000001</v>
      </c>
      <c r="H117" s="1">
        <v>24.027999999999999</v>
      </c>
      <c r="I117" s="1">
        <v>6.6000000000000003E-2</v>
      </c>
    </row>
    <row r="118" spans="1:9">
      <c r="A118" s="1" t="s">
        <v>1028</v>
      </c>
      <c r="B118" s="1" t="s">
        <v>14</v>
      </c>
      <c r="C118" s="1">
        <v>410</v>
      </c>
      <c r="D118" s="1">
        <v>98</v>
      </c>
      <c r="E118" s="1" t="s">
        <v>15</v>
      </c>
      <c r="F118" s="1">
        <v>0.16</v>
      </c>
      <c r="G118" s="1">
        <v>20.501999999999999</v>
      </c>
      <c r="H118" s="1">
        <v>23.902000000000001</v>
      </c>
      <c r="I118" s="1">
        <v>6.3E-2</v>
      </c>
    </row>
    <row r="119" spans="1:9">
      <c r="A119" s="1" t="s">
        <v>1029</v>
      </c>
      <c r="B119" s="1" t="s">
        <v>14</v>
      </c>
      <c r="C119" s="1">
        <v>809</v>
      </c>
      <c r="D119" s="1">
        <v>193</v>
      </c>
      <c r="E119" s="1" t="s">
        <v>15</v>
      </c>
      <c r="F119" s="1">
        <v>6.8000000000000005E-2</v>
      </c>
      <c r="G119" s="1">
        <v>40.377000000000002</v>
      </c>
      <c r="H119" s="1">
        <v>23.856999999999999</v>
      </c>
      <c r="I119" s="1">
        <v>6.2E-2</v>
      </c>
    </row>
    <row r="120" spans="1:9">
      <c r="A120" s="1" t="s">
        <v>1030</v>
      </c>
      <c r="B120" s="1" t="s">
        <v>14</v>
      </c>
      <c r="C120" s="1">
        <v>59</v>
      </c>
      <c r="D120" s="1">
        <v>14</v>
      </c>
      <c r="E120" s="1" t="s">
        <v>15</v>
      </c>
      <c r="F120" s="1">
        <v>0.03</v>
      </c>
      <c r="G120" s="1">
        <v>2.9289999999999998</v>
      </c>
      <c r="H120" s="1">
        <v>23.728999999999999</v>
      </c>
      <c r="I120" s="1">
        <v>5.8999999999999997E-2</v>
      </c>
    </row>
    <row r="121" spans="1:9">
      <c r="A121" s="1" t="s">
        <v>1031</v>
      </c>
      <c r="B121" s="1" t="s">
        <v>14</v>
      </c>
      <c r="C121" s="1">
        <v>422</v>
      </c>
      <c r="D121" s="1">
        <v>100</v>
      </c>
      <c r="E121" s="1" t="s">
        <v>15</v>
      </c>
      <c r="F121" s="1">
        <v>0.14099999999999999</v>
      </c>
      <c r="G121" s="1">
        <v>20.920999999999999</v>
      </c>
      <c r="H121" s="1">
        <v>23.696999999999999</v>
      </c>
      <c r="I121" s="1">
        <v>5.8000000000000003E-2</v>
      </c>
    </row>
    <row r="122" spans="1:9">
      <c r="A122" s="1" t="s">
        <v>21</v>
      </c>
      <c r="B122" s="1" t="s">
        <v>16</v>
      </c>
      <c r="C122" s="1">
        <v>347</v>
      </c>
      <c r="D122" s="1">
        <v>82</v>
      </c>
      <c r="E122" s="1" t="s">
        <v>15</v>
      </c>
      <c r="F122" s="1">
        <v>4.8000000000000001E-2</v>
      </c>
      <c r="G122" s="1">
        <v>17.155000000000001</v>
      </c>
      <c r="H122" s="1">
        <v>23.631</v>
      </c>
      <c r="I122" s="1">
        <v>5.6000000000000001E-2</v>
      </c>
    </row>
    <row r="123" spans="1:9">
      <c r="A123" s="1" t="s">
        <v>1032</v>
      </c>
      <c r="B123" s="1" t="s">
        <v>14</v>
      </c>
      <c r="C123" s="1">
        <v>72</v>
      </c>
      <c r="D123" s="1">
        <v>17</v>
      </c>
      <c r="E123" s="1" t="s">
        <v>15</v>
      </c>
      <c r="F123" s="1">
        <v>-1.7000000000000001E-2</v>
      </c>
      <c r="G123" s="1">
        <v>3.556</v>
      </c>
      <c r="H123" s="1">
        <v>23.611000000000001</v>
      </c>
      <c r="I123" s="1">
        <v>5.6000000000000001E-2</v>
      </c>
    </row>
    <row r="124" spans="1:9">
      <c r="A124" s="3" t="s">
        <v>1033</v>
      </c>
      <c r="B124" s="3" t="s">
        <v>14</v>
      </c>
      <c r="C124" s="3">
        <v>210</v>
      </c>
      <c r="D124" s="3">
        <v>40</v>
      </c>
      <c r="E124" s="3" t="s">
        <v>22</v>
      </c>
      <c r="F124" s="3">
        <v>-0.06</v>
      </c>
      <c r="G124" s="3">
        <v>9.6259999999999994</v>
      </c>
      <c r="H124" s="3">
        <v>80.951999999999998</v>
      </c>
      <c r="I124" s="3">
        <v>5.6000000000000001E-2</v>
      </c>
    </row>
    <row r="125" spans="1:9">
      <c r="A125" s="1" t="s">
        <v>1034</v>
      </c>
      <c r="B125" s="1" t="s">
        <v>14</v>
      </c>
      <c r="C125" s="1">
        <v>637</v>
      </c>
      <c r="D125" s="1">
        <v>150</v>
      </c>
      <c r="E125" s="1" t="s">
        <v>15</v>
      </c>
      <c r="F125" s="1">
        <v>-4.7E-2</v>
      </c>
      <c r="G125" s="1">
        <v>31.381</v>
      </c>
      <c r="H125" s="1">
        <v>23.547999999999998</v>
      </c>
      <c r="I125" s="1">
        <v>5.3999999999999999E-2</v>
      </c>
    </row>
    <row r="126" spans="1:9">
      <c r="A126" s="3" t="s">
        <v>1035</v>
      </c>
      <c r="B126" s="3" t="s">
        <v>14</v>
      </c>
      <c r="C126" s="3">
        <v>129</v>
      </c>
      <c r="D126" s="3">
        <v>25</v>
      </c>
      <c r="E126" s="3" t="s">
        <v>22</v>
      </c>
      <c r="F126" s="3">
        <v>0.23400000000000001</v>
      </c>
      <c r="G126" s="3">
        <v>5.8890000000000002</v>
      </c>
      <c r="H126" s="3">
        <v>80.62</v>
      </c>
      <c r="I126" s="3">
        <v>4.7E-2</v>
      </c>
    </row>
    <row r="127" spans="1:9">
      <c r="A127" s="3" t="s">
        <v>1036</v>
      </c>
      <c r="B127" s="3" t="s">
        <v>14</v>
      </c>
      <c r="C127" s="3">
        <v>423</v>
      </c>
      <c r="D127" s="3">
        <v>82</v>
      </c>
      <c r="E127" s="3" t="s">
        <v>22</v>
      </c>
      <c r="F127" s="3">
        <v>-0.25700000000000001</v>
      </c>
      <c r="G127" s="3">
        <v>19.309000000000001</v>
      </c>
      <c r="H127" s="3">
        <v>80.614999999999995</v>
      </c>
      <c r="I127" s="3">
        <v>4.7E-2</v>
      </c>
    </row>
    <row r="128" spans="1:9">
      <c r="A128" s="3" t="s">
        <v>1037</v>
      </c>
      <c r="B128" s="3" t="s">
        <v>14</v>
      </c>
      <c r="C128" s="3">
        <v>232</v>
      </c>
      <c r="D128" s="3">
        <v>45</v>
      </c>
      <c r="E128" s="3" t="s">
        <v>22</v>
      </c>
      <c r="F128" s="3">
        <v>-0.17</v>
      </c>
      <c r="G128" s="3">
        <v>10.589</v>
      </c>
      <c r="H128" s="3">
        <v>80.602999999999994</v>
      </c>
      <c r="I128" s="3">
        <v>4.7E-2</v>
      </c>
    </row>
    <row r="129" spans="1:9">
      <c r="A129" s="1" t="s">
        <v>270</v>
      </c>
      <c r="B129" s="1" t="s">
        <v>14</v>
      </c>
      <c r="C129" s="1">
        <v>56</v>
      </c>
      <c r="D129" s="1">
        <v>13</v>
      </c>
      <c r="E129" s="1" t="s">
        <v>15</v>
      </c>
      <c r="F129" s="1">
        <v>3.5999999999999997E-2</v>
      </c>
      <c r="G129" s="1">
        <v>2.72</v>
      </c>
      <c r="H129" s="1">
        <v>23.213999999999999</v>
      </c>
      <c r="I129" s="1">
        <v>4.5999999999999999E-2</v>
      </c>
    </row>
    <row r="130" spans="1:9">
      <c r="A130" s="1" t="s">
        <v>1038</v>
      </c>
      <c r="B130" s="1" t="s">
        <v>16</v>
      </c>
      <c r="C130" s="1">
        <v>82</v>
      </c>
      <c r="D130" s="1">
        <v>19</v>
      </c>
      <c r="E130" s="1" t="s">
        <v>15</v>
      </c>
      <c r="F130" s="1">
        <v>4.5999999999999999E-2</v>
      </c>
      <c r="G130" s="1">
        <v>3.9750000000000001</v>
      </c>
      <c r="H130" s="1">
        <v>23.170999999999999</v>
      </c>
      <c r="I130" s="1">
        <v>4.4999999999999998E-2</v>
      </c>
    </row>
    <row r="131" spans="1:9">
      <c r="A131" s="1" t="s">
        <v>1039</v>
      </c>
      <c r="B131" s="1" t="s">
        <v>14</v>
      </c>
      <c r="C131" s="1">
        <v>298</v>
      </c>
      <c r="D131" s="1">
        <v>69</v>
      </c>
      <c r="E131" s="1" t="s">
        <v>15</v>
      </c>
      <c r="F131" s="1">
        <v>8.9999999999999993E-3</v>
      </c>
      <c r="G131" s="1">
        <v>14.435</v>
      </c>
      <c r="H131" s="1">
        <v>23.154</v>
      </c>
      <c r="I131" s="1">
        <v>4.4999999999999998E-2</v>
      </c>
    </row>
    <row r="132" spans="1:9">
      <c r="A132" s="3" t="s">
        <v>1040</v>
      </c>
      <c r="B132" s="3" t="s">
        <v>14</v>
      </c>
      <c r="C132" s="3">
        <v>77</v>
      </c>
      <c r="D132" s="3">
        <v>15</v>
      </c>
      <c r="E132" s="3" t="s">
        <v>22</v>
      </c>
      <c r="F132" s="3">
        <v>-0.108</v>
      </c>
      <c r="G132" s="3">
        <v>3.5110000000000001</v>
      </c>
      <c r="H132" s="3">
        <v>80.519000000000005</v>
      </c>
      <c r="I132" s="3">
        <v>4.4999999999999998E-2</v>
      </c>
    </row>
    <row r="133" spans="1:9">
      <c r="A133" s="1" t="s">
        <v>1041</v>
      </c>
      <c r="B133" s="1" t="s">
        <v>14</v>
      </c>
      <c r="C133" s="1">
        <v>587</v>
      </c>
      <c r="D133" s="1">
        <v>135</v>
      </c>
      <c r="E133" s="1" t="s">
        <v>15</v>
      </c>
      <c r="F133" s="1">
        <v>-7.0000000000000001E-3</v>
      </c>
      <c r="G133" s="1">
        <v>28.242999999999999</v>
      </c>
      <c r="H133" s="1">
        <v>22.998000000000001</v>
      </c>
      <c r="I133" s="1">
        <v>4.1000000000000002E-2</v>
      </c>
    </row>
    <row r="134" spans="1:9">
      <c r="A134" s="3" t="s">
        <v>1042</v>
      </c>
      <c r="B134" s="3" t="s">
        <v>14</v>
      </c>
      <c r="C134" s="3">
        <v>335</v>
      </c>
      <c r="D134" s="3">
        <v>66</v>
      </c>
      <c r="E134" s="3" t="s">
        <v>22</v>
      </c>
      <c r="F134" s="3">
        <v>0.114</v>
      </c>
      <c r="G134" s="3">
        <v>15.231999999999999</v>
      </c>
      <c r="H134" s="3">
        <v>80.299000000000007</v>
      </c>
      <c r="I134" s="3">
        <v>3.9E-2</v>
      </c>
    </row>
    <row r="135" spans="1:9">
      <c r="A135" s="1" t="s">
        <v>1043</v>
      </c>
      <c r="B135" s="1" t="s">
        <v>14</v>
      </c>
      <c r="C135" s="1">
        <v>385</v>
      </c>
      <c r="D135" s="1">
        <v>88</v>
      </c>
      <c r="E135" s="1" t="s">
        <v>15</v>
      </c>
      <c r="F135" s="1">
        <v>-6.6000000000000003E-2</v>
      </c>
      <c r="G135" s="1">
        <v>18.41</v>
      </c>
      <c r="H135" s="1">
        <v>22.856999999999999</v>
      </c>
      <c r="I135" s="1">
        <v>3.7999999999999999E-2</v>
      </c>
    </row>
    <row r="136" spans="1:9">
      <c r="A136" s="3" t="s">
        <v>1044</v>
      </c>
      <c r="B136" s="3" t="s">
        <v>14</v>
      </c>
      <c r="C136" s="3">
        <v>393</v>
      </c>
      <c r="D136" s="3">
        <v>78</v>
      </c>
      <c r="E136" s="3" t="s">
        <v>22</v>
      </c>
      <c r="F136" s="3">
        <v>0.183</v>
      </c>
      <c r="G136" s="3">
        <v>17.837</v>
      </c>
      <c r="H136" s="3">
        <v>80.153000000000006</v>
      </c>
      <c r="I136" s="3">
        <v>3.5999999999999997E-2</v>
      </c>
    </row>
    <row r="137" spans="1:9">
      <c r="A137" s="1" t="s">
        <v>1045</v>
      </c>
      <c r="B137" s="1" t="s">
        <v>14</v>
      </c>
      <c r="C137" s="1">
        <v>1582</v>
      </c>
      <c r="D137" s="1">
        <v>357</v>
      </c>
      <c r="E137" s="1" t="s">
        <v>15</v>
      </c>
      <c r="F137" s="1">
        <v>4.7E-2</v>
      </c>
      <c r="G137" s="1">
        <v>74.686000000000007</v>
      </c>
      <c r="H137" s="1">
        <v>22.565999999999999</v>
      </c>
      <c r="I137" s="1">
        <v>3.1E-2</v>
      </c>
    </row>
    <row r="138" spans="1:9">
      <c r="A138" s="1" t="s">
        <v>1046</v>
      </c>
      <c r="B138" s="1" t="s">
        <v>14</v>
      </c>
      <c r="C138" s="1">
        <v>1116</v>
      </c>
      <c r="D138" s="1">
        <v>251</v>
      </c>
      <c r="E138" s="1" t="s">
        <v>15</v>
      </c>
      <c r="F138" s="1">
        <v>4.4999999999999998E-2</v>
      </c>
      <c r="G138" s="1">
        <v>52.51</v>
      </c>
      <c r="H138" s="1">
        <v>22.491</v>
      </c>
      <c r="I138" s="1">
        <v>2.9000000000000001E-2</v>
      </c>
    </row>
    <row r="139" spans="1:9">
      <c r="A139" s="1" t="s">
        <v>1047</v>
      </c>
      <c r="B139" s="1" t="s">
        <v>14</v>
      </c>
      <c r="C139" s="1">
        <v>1432</v>
      </c>
      <c r="D139" s="1">
        <v>320</v>
      </c>
      <c r="E139" s="1" t="s">
        <v>15</v>
      </c>
      <c r="F139" s="1">
        <v>2.1999999999999999E-2</v>
      </c>
      <c r="G139" s="1">
        <v>66.945999999999998</v>
      </c>
      <c r="H139" s="1">
        <v>22.346</v>
      </c>
      <c r="I139" s="1">
        <v>2.5000000000000001E-2</v>
      </c>
    </row>
    <row r="140" spans="1:9">
      <c r="A140" s="1" t="s">
        <v>1048</v>
      </c>
      <c r="B140" s="1" t="s">
        <v>14</v>
      </c>
      <c r="C140" s="1">
        <v>242</v>
      </c>
      <c r="D140" s="1">
        <v>54</v>
      </c>
      <c r="E140" s="1" t="s">
        <v>15</v>
      </c>
      <c r="F140" s="1">
        <v>5.2999999999999999E-2</v>
      </c>
      <c r="G140" s="1">
        <v>11.297000000000001</v>
      </c>
      <c r="H140" s="1">
        <v>22.314</v>
      </c>
      <c r="I140" s="1">
        <v>2.5000000000000001E-2</v>
      </c>
    </row>
    <row r="141" spans="1:9">
      <c r="A141" s="1" t="s">
        <v>1049</v>
      </c>
      <c r="B141" s="1" t="s">
        <v>14</v>
      </c>
      <c r="C141" s="1">
        <v>386</v>
      </c>
      <c r="D141" s="1">
        <v>86</v>
      </c>
      <c r="E141" s="1" t="s">
        <v>15</v>
      </c>
      <c r="F141" s="1">
        <v>0.13700000000000001</v>
      </c>
      <c r="G141" s="1">
        <v>17.992000000000001</v>
      </c>
      <c r="H141" s="1">
        <v>22.28</v>
      </c>
      <c r="I141" s="1">
        <v>2.4E-2</v>
      </c>
    </row>
    <row r="142" spans="1:9">
      <c r="A142" s="3" t="s">
        <v>1050</v>
      </c>
      <c r="B142" s="3" t="s">
        <v>14</v>
      </c>
      <c r="C142" s="3">
        <v>1854</v>
      </c>
      <c r="D142" s="3">
        <v>377</v>
      </c>
      <c r="E142" s="3" t="s">
        <v>22</v>
      </c>
      <c r="F142" s="3">
        <v>-1.4E-2</v>
      </c>
      <c r="G142" s="3">
        <v>83.635000000000005</v>
      </c>
      <c r="H142" s="3">
        <v>79.665999999999997</v>
      </c>
      <c r="I142" s="3">
        <v>2.4E-2</v>
      </c>
    </row>
    <row r="143" spans="1:9">
      <c r="A143" s="3" t="s">
        <v>1051</v>
      </c>
      <c r="B143" s="3" t="s">
        <v>14</v>
      </c>
      <c r="C143" s="3">
        <v>177</v>
      </c>
      <c r="D143" s="3">
        <v>36</v>
      </c>
      <c r="E143" s="3" t="s">
        <v>22</v>
      </c>
      <c r="F143" s="3">
        <v>-0.21099999999999999</v>
      </c>
      <c r="G143" s="3">
        <v>7.984</v>
      </c>
      <c r="H143" s="3">
        <v>79.661000000000001</v>
      </c>
      <c r="I143" s="3">
        <v>2.4E-2</v>
      </c>
    </row>
    <row r="144" spans="1:9">
      <c r="A144" s="1" t="s">
        <v>1052</v>
      </c>
      <c r="B144" s="1" t="s">
        <v>14</v>
      </c>
      <c r="C144" s="1">
        <v>383</v>
      </c>
      <c r="D144" s="1">
        <v>85</v>
      </c>
      <c r="E144" s="1" t="s">
        <v>15</v>
      </c>
      <c r="F144" s="1">
        <v>1.9E-2</v>
      </c>
      <c r="G144" s="1">
        <v>17.782</v>
      </c>
      <c r="H144" s="1">
        <v>22.193000000000001</v>
      </c>
      <c r="I144" s="1">
        <v>2.1999999999999999E-2</v>
      </c>
    </row>
    <row r="145" spans="1:9">
      <c r="A145" s="1" t="s">
        <v>1053</v>
      </c>
      <c r="B145" s="1" t="s">
        <v>14</v>
      </c>
      <c r="C145" s="1">
        <v>347</v>
      </c>
      <c r="D145" s="1">
        <v>77</v>
      </c>
      <c r="E145" s="1" t="s">
        <v>15</v>
      </c>
      <c r="F145" s="1">
        <v>0.17100000000000001</v>
      </c>
      <c r="G145" s="1">
        <v>16.109000000000002</v>
      </c>
      <c r="H145" s="1">
        <v>22.19</v>
      </c>
      <c r="I145" s="1">
        <v>2.1999999999999999E-2</v>
      </c>
    </row>
    <row r="146" spans="1:9">
      <c r="A146" s="3" t="s">
        <v>1054</v>
      </c>
      <c r="B146" s="3" t="s">
        <v>16</v>
      </c>
      <c r="C146" s="3">
        <v>559</v>
      </c>
      <c r="D146" s="3">
        <v>114</v>
      </c>
      <c r="E146" s="3" t="s">
        <v>22</v>
      </c>
      <c r="F146" s="3">
        <v>8.2000000000000003E-2</v>
      </c>
      <c r="G146" s="3">
        <v>25.198</v>
      </c>
      <c r="H146" s="3">
        <v>79.605999999999995</v>
      </c>
      <c r="I146" s="3">
        <v>2.1999999999999999E-2</v>
      </c>
    </row>
    <row r="147" spans="1:9">
      <c r="A147" s="3" t="s">
        <v>1055</v>
      </c>
      <c r="B147" s="3" t="s">
        <v>14</v>
      </c>
      <c r="C147" s="3">
        <v>152</v>
      </c>
      <c r="D147" s="3">
        <v>31</v>
      </c>
      <c r="E147" s="3" t="s">
        <v>22</v>
      </c>
      <c r="F147" s="3">
        <v>-0.316</v>
      </c>
      <c r="G147" s="3">
        <v>6.8520000000000003</v>
      </c>
      <c r="H147" s="3">
        <v>79.605000000000004</v>
      </c>
      <c r="I147" s="3">
        <v>2.1999999999999999E-2</v>
      </c>
    </row>
    <row r="148" spans="1:9">
      <c r="A148" s="3" t="s">
        <v>1056</v>
      </c>
      <c r="B148" s="3" t="s">
        <v>14</v>
      </c>
      <c r="C148" s="3">
        <v>1292</v>
      </c>
      <c r="D148" s="3">
        <v>264</v>
      </c>
      <c r="E148" s="3" t="s">
        <v>22</v>
      </c>
      <c r="F148" s="3">
        <v>-2.9000000000000001E-2</v>
      </c>
      <c r="G148" s="3">
        <v>58.210999999999999</v>
      </c>
      <c r="H148" s="3">
        <v>79.566999999999993</v>
      </c>
      <c r="I148" s="3">
        <v>2.1000000000000001E-2</v>
      </c>
    </row>
    <row r="149" spans="1:9">
      <c r="A149" s="3" t="s">
        <v>38</v>
      </c>
      <c r="B149" s="3" t="s">
        <v>14</v>
      </c>
      <c r="C149" s="3">
        <v>1668</v>
      </c>
      <c r="D149" s="3">
        <v>344</v>
      </c>
      <c r="E149" s="3" t="s">
        <v>22</v>
      </c>
      <c r="F149" s="3">
        <v>-2.5000000000000001E-2</v>
      </c>
      <c r="G149" s="3">
        <v>74.971999999999994</v>
      </c>
      <c r="H149" s="3">
        <v>79.376000000000005</v>
      </c>
      <c r="I149" s="3">
        <v>1.7000000000000001E-2</v>
      </c>
    </row>
    <row r="150" spans="1:9">
      <c r="A150" s="1" t="s">
        <v>1057</v>
      </c>
      <c r="B150" s="1" t="s">
        <v>14</v>
      </c>
      <c r="C150" s="1">
        <v>1353</v>
      </c>
      <c r="D150" s="1">
        <v>297</v>
      </c>
      <c r="E150" s="1" t="s">
        <v>15</v>
      </c>
      <c r="F150" s="1">
        <v>0.13400000000000001</v>
      </c>
      <c r="G150" s="1">
        <v>62.134</v>
      </c>
      <c r="H150" s="1">
        <v>21.951000000000001</v>
      </c>
      <c r="I150" s="1">
        <v>1.6E-2</v>
      </c>
    </row>
    <row r="151" spans="1:9">
      <c r="A151" s="3" t="s">
        <v>25</v>
      </c>
      <c r="B151" s="3" t="s">
        <v>14</v>
      </c>
      <c r="C151" s="3">
        <v>2092</v>
      </c>
      <c r="D151" s="3">
        <v>432</v>
      </c>
      <c r="E151" s="3" t="s">
        <v>22</v>
      </c>
      <c r="F151" s="3">
        <v>-7.1999999999999995E-2</v>
      </c>
      <c r="G151" s="3">
        <v>93.998000000000005</v>
      </c>
      <c r="H151" s="3">
        <v>79.349999999999994</v>
      </c>
      <c r="I151" s="3">
        <v>1.6E-2</v>
      </c>
    </row>
    <row r="152" spans="1:9">
      <c r="A152" s="3" t="s">
        <v>1058</v>
      </c>
      <c r="B152" s="3" t="s">
        <v>14</v>
      </c>
      <c r="C152" s="3">
        <v>1864</v>
      </c>
      <c r="D152" s="3">
        <v>385</v>
      </c>
      <c r="E152" s="3" t="s">
        <v>22</v>
      </c>
      <c r="F152" s="3">
        <v>-3.7999999999999999E-2</v>
      </c>
      <c r="G152" s="3">
        <v>83.748999999999995</v>
      </c>
      <c r="H152" s="3">
        <v>79.344999999999999</v>
      </c>
      <c r="I152" s="3">
        <v>1.6E-2</v>
      </c>
    </row>
    <row r="153" spans="1:9">
      <c r="A153" s="3" t="s">
        <v>298</v>
      </c>
      <c r="B153" s="3" t="s">
        <v>14</v>
      </c>
      <c r="C153" s="3">
        <v>550</v>
      </c>
      <c r="D153" s="3">
        <v>114</v>
      </c>
      <c r="E153" s="3" t="s">
        <v>22</v>
      </c>
      <c r="F153" s="3">
        <v>-5.8999999999999997E-2</v>
      </c>
      <c r="G153" s="3">
        <v>24.689</v>
      </c>
      <c r="H153" s="3">
        <v>79.272999999999996</v>
      </c>
      <c r="I153" s="3">
        <v>1.4E-2</v>
      </c>
    </row>
    <row r="154" spans="1:9">
      <c r="A154" s="3" t="s">
        <v>1059</v>
      </c>
      <c r="B154" s="3" t="s">
        <v>14</v>
      </c>
      <c r="C154" s="3">
        <v>1610</v>
      </c>
      <c r="D154" s="3">
        <v>334</v>
      </c>
      <c r="E154" s="3" t="s">
        <v>22</v>
      </c>
      <c r="F154" s="3">
        <v>-4.0000000000000001E-3</v>
      </c>
      <c r="G154" s="3">
        <v>72.254000000000005</v>
      </c>
      <c r="H154" s="3">
        <v>79.254999999999995</v>
      </c>
      <c r="I154" s="3">
        <v>1.4E-2</v>
      </c>
    </row>
    <row r="155" spans="1:9">
      <c r="A155" s="1" t="s">
        <v>1060</v>
      </c>
      <c r="B155" s="1" t="s">
        <v>14</v>
      </c>
      <c r="C155" s="1">
        <v>1364</v>
      </c>
      <c r="D155" s="1">
        <v>296</v>
      </c>
      <c r="E155" s="1" t="s">
        <v>15</v>
      </c>
      <c r="F155" s="1">
        <v>0.129</v>
      </c>
      <c r="G155" s="1">
        <v>61.924999999999997</v>
      </c>
      <c r="H155" s="1">
        <v>21.701000000000001</v>
      </c>
      <c r="I155" s="1">
        <v>0.01</v>
      </c>
    </row>
    <row r="156" spans="1:9">
      <c r="A156" s="1" t="s">
        <v>1061</v>
      </c>
      <c r="B156" s="1" t="s">
        <v>14</v>
      </c>
      <c r="C156" s="1">
        <v>2148</v>
      </c>
      <c r="D156" s="1">
        <v>466</v>
      </c>
      <c r="E156" s="1" t="s">
        <v>15</v>
      </c>
      <c r="F156" s="1">
        <v>4.0000000000000001E-3</v>
      </c>
      <c r="G156" s="1">
        <v>97.49</v>
      </c>
      <c r="H156" s="1">
        <v>21.695</v>
      </c>
      <c r="I156" s="1">
        <v>0.01</v>
      </c>
    </row>
    <row r="157" spans="1:9">
      <c r="A157" s="1" t="s">
        <v>1062</v>
      </c>
      <c r="B157" s="1" t="s">
        <v>14</v>
      </c>
      <c r="C157" s="1">
        <v>1053</v>
      </c>
      <c r="D157" s="1">
        <v>227</v>
      </c>
      <c r="E157" s="1" t="s">
        <v>15</v>
      </c>
      <c r="F157" s="1">
        <v>-5.0000000000000001E-3</v>
      </c>
      <c r="G157" s="1">
        <v>47.49</v>
      </c>
      <c r="H157" s="1">
        <v>21.556999999999999</v>
      </c>
      <c r="I157" s="1">
        <v>6.0000000000000001E-3</v>
      </c>
    </row>
    <row r="158" spans="1:9">
      <c r="A158" s="1" t="s">
        <v>1063</v>
      </c>
      <c r="B158" s="1" t="s">
        <v>14</v>
      </c>
      <c r="C158" s="1">
        <v>334</v>
      </c>
      <c r="D158" s="1">
        <v>72</v>
      </c>
      <c r="E158" s="1" t="s">
        <v>15</v>
      </c>
      <c r="F158" s="1">
        <v>-0.24399999999999999</v>
      </c>
      <c r="G158" s="1">
        <v>15.063000000000001</v>
      </c>
      <c r="H158" s="1">
        <v>21.556999999999999</v>
      </c>
      <c r="I158" s="1">
        <v>6.0000000000000001E-3</v>
      </c>
    </row>
    <row r="159" spans="1:9">
      <c r="A159" s="1" t="s">
        <v>1064</v>
      </c>
      <c r="B159" s="1" t="s">
        <v>14</v>
      </c>
      <c r="C159" s="1">
        <v>493</v>
      </c>
      <c r="D159" s="1">
        <v>106</v>
      </c>
      <c r="E159" s="1" t="s">
        <v>15</v>
      </c>
      <c r="F159" s="1">
        <v>1.6E-2</v>
      </c>
      <c r="G159" s="1">
        <v>22.175999999999998</v>
      </c>
      <c r="H159" s="1">
        <v>21.501000000000001</v>
      </c>
      <c r="I159" s="1">
        <v>5.0000000000000001E-3</v>
      </c>
    </row>
    <row r="160" spans="1:9">
      <c r="A160" s="1" t="s">
        <v>1065</v>
      </c>
      <c r="B160" s="1" t="s">
        <v>14</v>
      </c>
      <c r="C160" s="1">
        <v>383</v>
      </c>
      <c r="D160" s="1">
        <v>82</v>
      </c>
      <c r="E160" s="1" t="s">
        <v>15</v>
      </c>
      <c r="F160" s="1">
        <v>0.154</v>
      </c>
      <c r="G160" s="1">
        <v>17.155000000000001</v>
      </c>
      <c r="H160" s="1">
        <v>21.41</v>
      </c>
      <c r="I160" s="1">
        <v>3.0000000000000001E-3</v>
      </c>
    </row>
  </sheetData>
  <autoFilter ref="A8:I8" xr:uid="{62631C62-397D-D348-A375-A1D58D955D2A}"/>
  <mergeCells count="1">
    <mergeCell ref="A1:I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7C83F-B089-2D48-B779-0896C6277802}">
  <dimension ref="A1:N287"/>
  <sheetViews>
    <sheetView workbookViewId="0">
      <selection activeCell="K8" sqref="K8:N10"/>
    </sheetView>
  </sheetViews>
  <sheetFormatPr baseColWidth="10" defaultRowHeight="16"/>
  <cols>
    <col min="1" max="1" width="104.1640625" customWidth="1"/>
    <col min="11" max="11" width="17.33203125" customWidth="1"/>
  </cols>
  <sheetData>
    <row r="1" spans="1:14">
      <c r="A1" s="12" t="s">
        <v>1785</v>
      </c>
      <c r="B1" s="13"/>
      <c r="C1" s="13"/>
      <c r="D1" s="13"/>
      <c r="E1" s="13"/>
      <c r="F1" s="13"/>
      <c r="G1" s="13"/>
      <c r="H1" s="13"/>
      <c r="I1" s="13"/>
    </row>
    <row r="2" spans="1:14">
      <c r="A2" s="13"/>
      <c r="B2" s="13"/>
      <c r="C2" s="13"/>
      <c r="D2" s="13"/>
      <c r="E2" s="13"/>
      <c r="F2" s="13"/>
      <c r="G2" s="13"/>
      <c r="H2" s="13"/>
      <c r="I2" s="13"/>
    </row>
    <row r="3" spans="1:14">
      <c r="A3" t="s">
        <v>0</v>
      </c>
      <c r="B3" t="s">
        <v>1</v>
      </c>
    </row>
    <row r="4" spans="1:14">
      <c r="A4" t="s">
        <v>2</v>
      </c>
      <c r="B4" t="s">
        <v>3</v>
      </c>
    </row>
    <row r="5" spans="1:14">
      <c r="A5" t="s">
        <v>4</v>
      </c>
      <c r="B5">
        <v>2244</v>
      </c>
    </row>
    <row r="6" spans="1:14">
      <c r="A6" t="s">
        <v>5</v>
      </c>
      <c r="B6">
        <v>478</v>
      </c>
    </row>
    <row r="8" spans="1:14" ht="17">
      <c r="A8" t="s">
        <v>6</v>
      </c>
      <c r="B8" t="s">
        <v>7</v>
      </c>
      <c r="C8" t="s">
        <v>8</v>
      </c>
      <c r="D8" t="s">
        <v>9</v>
      </c>
      <c r="E8" t="s">
        <v>10</v>
      </c>
      <c r="F8" t="s">
        <v>11</v>
      </c>
      <c r="G8" t="s">
        <v>12</v>
      </c>
      <c r="H8" t="s">
        <v>13</v>
      </c>
      <c r="I8" t="s">
        <v>1305</v>
      </c>
      <c r="K8" s="8" t="s">
        <v>1804</v>
      </c>
      <c r="L8" s="8" t="s">
        <v>1805</v>
      </c>
      <c r="M8" s="8" t="s">
        <v>8</v>
      </c>
      <c r="N8" s="8" t="s">
        <v>9</v>
      </c>
    </row>
    <row r="9" spans="1:14" ht="17">
      <c r="A9" s="1" t="s">
        <v>928</v>
      </c>
      <c r="B9" s="1" t="s">
        <v>14</v>
      </c>
      <c r="C9" s="1">
        <v>5</v>
      </c>
      <c r="D9" s="1">
        <v>5</v>
      </c>
      <c r="E9" s="1" t="s">
        <v>15</v>
      </c>
      <c r="F9" s="1">
        <v>3.7999999999999999E-2</v>
      </c>
      <c r="G9" s="1">
        <v>1.046</v>
      </c>
      <c r="H9" s="1">
        <v>100</v>
      </c>
      <c r="I9" s="1">
        <v>1.7589999999999999</v>
      </c>
      <c r="K9" s="9" t="s">
        <v>1806</v>
      </c>
      <c r="L9" s="9" t="s">
        <v>1807</v>
      </c>
      <c r="M9" s="9">
        <v>167</v>
      </c>
      <c r="N9" s="9">
        <v>48</v>
      </c>
    </row>
    <row r="10" spans="1:14" ht="17">
      <c r="A10" s="1" t="s">
        <v>1066</v>
      </c>
      <c r="B10" s="1" t="s">
        <v>14</v>
      </c>
      <c r="C10" s="1">
        <v>5</v>
      </c>
      <c r="D10" s="1">
        <v>5</v>
      </c>
      <c r="E10" s="1" t="s">
        <v>15</v>
      </c>
      <c r="F10" s="1">
        <v>6.3E-2</v>
      </c>
      <c r="G10" s="1">
        <v>1.046</v>
      </c>
      <c r="H10" s="1">
        <v>100</v>
      </c>
      <c r="I10" s="1">
        <v>1.7589999999999999</v>
      </c>
      <c r="K10" s="9" t="s">
        <v>1808</v>
      </c>
      <c r="L10" s="9" t="s">
        <v>1809</v>
      </c>
      <c r="M10" s="9">
        <v>299</v>
      </c>
      <c r="N10" s="9">
        <v>245</v>
      </c>
    </row>
    <row r="11" spans="1:14">
      <c r="A11" s="1" t="s">
        <v>1067</v>
      </c>
      <c r="B11" s="1" t="s">
        <v>14</v>
      </c>
      <c r="C11" s="1">
        <v>5</v>
      </c>
      <c r="D11" s="1">
        <v>5</v>
      </c>
      <c r="E11" s="1" t="s">
        <v>15</v>
      </c>
      <c r="F11" s="1">
        <v>0.17599999999999999</v>
      </c>
      <c r="G11" s="1">
        <v>1.046</v>
      </c>
      <c r="H11" s="1">
        <v>100</v>
      </c>
      <c r="I11" s="1">
        <v>1.7589999999999999</v>
      </c>
    </row>
    <row r="12" spans="1:14">
      <c r="A12" s="1" t="s">
        <v>1068</v>
      </c>
      <c r="B12" s="1" t="s">
        <v>14</v>
      </c>
      <c r="C12" s="1">
        <v>5</v>
      </c>
      <c r="D12" s="1">
        <v>5</v>
      </c>
      <c r="E12" s="1" t="s">
        <v>15</v>
      </c>
      <c r="F12" s="1">
        <v>1.51</v>
      </c>
      <c r="G12" s="1">
        <v>1.046</v>
      </c>
      <c r="H12" s="1">
        <v>100</v>
      </c>
      <c r="I12" s="1">
        <v>1.7589999999999999</v>
      </c>
    </row>
    <row r="13" spans="1:14">
      <c r="A13" s="1" t="s">
        <v>930</v>
      </c>
      <c r="B13" s="1" t="s">
        <v>14</v>
      </c>
      <c r="C13" s="1">
        <v>5</v>
      </c>
      <c r="D13" s="1">
        <v>4</v>
      </c>
      <c r="E13" s="1" t="s">
        <v>15</v>
      </c>
      <c r="F13" s="1">
        <v>0.14899999999999999</v>
      </c>
      <c r="G13" s="1">
        <v>0.83699999999999997</v>
      </c>
      <c r="H13" s="1">
        <v>80</v>
      </c>
      <c r="I13" s="1">
        <v>1.2529999999999999</v>
      </c>
    </row>
    <row r="14" spans="1:14">
      <c r="A14" s="1" t="s">
        <v>1069</v>
      </c>
      <c r="B14" s="1" t="s">
        <v>14</v>
      </c>
      <c r="C14" s="1">
        <v>5</v>
      </c>
      <c r="D14" s="1">
        <v>4</v>
      </c>
      <c r="E14" s="1" t="s">
        <v>15</v>
      </c>
      <c r="F14" s="1">
        <v>0.434</v>
      </c>
      <c r="G14" s="1">
        <v>0.83699999999999997</v>
      </c>
      <c r="H14" s="1">
        <v>80</v>
      </c>
      <c r="I14" s="1">
        <v>1.2529999999999999</v>
      </c>
    </row>
    <row r="15" spans="1:14">
      <c r="A15" s="1" t="s">
        <v>1070</v>
      </c>
      <c r="B15" s="1" t="s">
        <v>14</v>
      </c>
      <c r="C15" s="1">
        <v>5</v>
      </c>
      <c r="D15" s="1">
        <v>4</v>
      </c>
      <c r="E15" s="1" t="s">
        <v>15</v>
      </c>
      <c r="F15" s="1">
        <v>0</v>
      </c>
      <c r="G15" s="1">
        <v>0.83699999999999997</v>
      </c>
      <c r="H15" s="1">
        <v>80</v>
      </c>
      <c r="I15" s="1">
        <v>1.2529999999999999</v>
      </c>
    </row>
    <row r="16" spans="1:14">
      <c r="A16" s="1" t="s">
        <v>1071</v>
      </c>
      <c r="B16" s="1" t="s">
        <v>14</v>
      </c>
      <c r="C16" s="1">
        <v>5</v>
      </c>
      <c r="D16" s="1">
        <v>4</v>
      </c>
      <c r="E16" s="1" t="s">
        <v>15</v>
      </c>
      <c r="F16" s="1">
        <v>4.2999999999999997E-2</v>
      </c>
      <c r="G16" s="1">
        <v>0.83699999999999997</v>
      </c>
      <c r="H16" s="1">
        <v>80</v>
      </c>
      <c r="I16" s="1">
        <v>1.2529999999999999</v>
      </c>
    </row>
    <row r="17" spans="1:9">
      <c r="A17" s="1" t="s">
        <v>1072</v>
      </c>
      <c r="B17" s="1" t="s">
        <v>14</v>
      </c>
      <c r="C17" s="1">
        <v>5</v>
      </c>
      <c r="D17" s="1">
        <v>4</v>
      </c>
      <c r="E17" s="1" t="s">
        <v>15</v>
      </c>
      <c r="F17" s="1">
        <v>6.0000000000000001E-3</v>
      </c>
      <c r="G17" s="1">
        <v>0.83699999999999997</v>
      </c>
      <c r="H17" s="1">
        <v>80</v>
      </c>
      <c r="I17" s="1">
        <v>1.2529999999999999</v>
      </c>
    </row>
    <row r="18" spans="1:9">
      <c r="A18" s="1" t="s">
        <v>1073</v>
      </c>
      <c r="B18" s="1" t="s">
        <v>16</v>
      </c>
      <c r="C18" s="1">
        <v>8</v>
      </c>
      <c r="D18" s="1">
        <v>6</v>
      </c>
      <c r="E18" s="1" t="s">
        <v>15</v>
      </c>
      <c r="F18" s="1">
        <v>0.219</v>
      </c>
      <c r="G18" s="1">
        <v>1.2549999999999999</v>
      </c>
      <c r="H18" s="1">
        <v>75</v>
      </c>
      <c r="I18" s="1">
        <v>1.147</v>
      </c>
    </row>
    <row r="19" spans="1:9">
      <c r="A19" s="1" t="s">
        <v>1074</v>
      </c>
      <c r="B19" s="1" t="s">
        <v>16</v>
      </c>
      <c r="C19" s="1">
        <v>11</v>
      </c>
      <c r="D19" s="1">
        <v>8</v>
      </c>
      <c r="E19" s="1" t="s">
        <v>15</v>
      </c>
      <c r="F19" s="1">
        <v>0.23599999999999999</v>
      </c>
      <c r="G19" s="1">
        <v>1.6739999999999999</v>
      </c>
      <c r="H19" s="1">
        <v>72.727000000000004</v>
      </c>
      <c r="I19" s="1">
        <v>1.099</v>
      </c>
    </row>
    <row r="20" spans="1:9">
      <c r="A20" s="1" t="s">
        <v>1075</v>
      </c>
      <c r="B20" s="1" t="s">
        <v>16</v>
      </c>
      <c r="C20" s="1">
        <v>7</v>
      </c>
      <c r="D20" s="1">
        <v>5</v>
      </c>
      <c r="E20" s="1" t="s">
        <v>15</v>
      </c>
      <c r="F20" s="1">
        <v>0.309</v>
      </c>
      <c r="G20" s="1">
        <v>1.046</v>
      </c>
      <c r="H20" s="1">
        <v>71.429000000000002</v>
      </c>
      <c r="I20" s="1">
        <v>1.0720000000000001</v>
      </c>
    </row>
    <row r="21" spans="1:9">
      <c r="A21" s="1" t="s">
        <v>1076</v>
      </c>
      <c r="B21" s="1" t="s">
        <v>14</v>
      </c>
      <c r="C21" s="1">
        <v>9</v>
      </c>
      <c r="D21" s="1">
        <v>6</v>
      </c>
      <c r="E21" s="1" t="s">
        <v>15</v>
      </c>
      <c r="F21" s="1">
        <v>2.1999999999999999E-2</v>
      </c>
      <c r="G21" s="1">
        <v>1.2549999999999999</v>
      </c>
      <c r="H21" s="1">
        <v>66.667000000000002</v>
      </c>
      <c r="I21" s="1">
        <v>0.97399999999999998</v>
      </c>
    </row>
    <row r="22" spans="1:9">
      <c r="A22" s="1" t="s">
        <v>1077</v>
      </c>
      <c r="B22" s="1" t="s">
        <v>16</v>
      </c>
      <c r="C22" s="1">
        <v>71</v>
      </c>
      <c r="D22" s="1">
        <v>46</v>
      </c>
      <c r="E22" s="1" t="s">
        <v>15</v>
      </c>
      <c r="F22" s="1">
        <v>0.188</v>
      </c>
      <c r="G22" s="1">
        <v>9.6229999999999993</v>
      </c>
      <c r="H22" s="1">
        <v>64.789000000000001</v>
      </c>
      <c r="I22" s="1">
        <v>0.93500000000000005</v>
      </c>
    </row>
    <row r="23" spans="1:9">
      <c r="A23" s="1" t="s">
        <v>1078</v>
      </c>
      <c r="B23" s="1" t="s">
        <v>16</v>
      </c>
      <c r="C23" s="1">
        <v>76</v>
      </c>
      <c r="D23" s="1">
        <v>49</v>
      </c>
      <c r="E23" s="1" t="s">
        <v>15</v>
      </c>
      <c r="F23" s="1">
        <v>0.111</v>
      </c>
      <c r="G23" s="1">
        <v>10.250999999999999</v>
      </c>
      <c r="H23" s="1">
        <v>64.474000000000004</v>
      </c>
      <c r="I23" s="1">
        <v>0.92900000000000005</v>
      </c>
    </row>
    <row r="24" spans="1:9">
      <c r="A24" s="1" t="s">
        <v>1079</v>
      </c>
      <c r="B24" s="1" t="s">
        <v>16</v>
      </c>
      <c r="C24" s="1">
        <v>78</v>
      </c>
      <c r="D24" s="1">
        <v>50</v>
      </c>
      <c r="E24" s="1" t="s">
        <v>15</v>
      </c>
      <c r="F24" s="1">
        <v>8.7999999999999995E-2</v>
      </c>
      <c r="G24" s="1">
        <v>10.46</v>
      </c>
      <c r="H24" s="1">
        <v>64.102999999999994</v>
      </c>
      <c r="I24" s="1">
        <v>0.92100000000000004</v>
      </c>
    </row>
    <row r="25" spans="1:9">
      <c r="A25" s="1" t="s">
        <v>1080</v>
      </c>
      <c r="B25" s="1" t="s">
        <v>16</v>
      </c>
      <c r="C25" s="1">
        <v>81</v>
      </c>
      <c r="D25" s="1">
        <v>51</v>
      </c>
      <c r="E25" s="1" t="s">
        <v>15</v>
      </c>
      <c r="F25" s="1">
        <v>0.13200000000000001</v>
      </c>
      <c r="G25" s="1">
        <v>10.669</v>
      </c>
      <c r="H25" s="1">
        <v>62.963000000000001</v>
      </c>
      <c r="I25" s="1">
        <v>0.89800000000000002</v>
      </c>
    </row>
    <row r="26" spans="1:9">
      <c r="A26" s="1" t="s">
        <v>203</v>
      </c>
      <c r="B26" s="1" t="s">
        <v>16</v>
      </c>
      <c r="C26" s="1">
        <v>79</v>
      </c>
      <c r="D26" s="1">
        <v>48</v>
      </c>
      <c r="E26" s="1" t="s">
        <v>15</v>
      </c>
      <c r="F26" s="1">
        <v>9.8000000000000004E-2</v>
      </c>
      <c r="G26" s="1">
        <v>10.042</v>
      </c>
      <c r="H26" s="1">
        <v>60.759</v>
      </c>
      <c r="I26" s="1">
        <v>0.85299999999999998</v>
      </c>
    </row>
    <row r="27" spans="1:9">
      <c r="A27" s="1" t="s">
        <v>1081</v>
      </c>
      <c r="B27" s="1" t="s">
        <v>16</v>
      </c>
      <c r="C27" s="1">
        <v>20</v>
      </c>
      <c r="D27" s="1">
        <v>12</v>
      </c>
      <c r="E27" s="1" t="s">
        <v>15</v>
      </c>
      <c r="F27" s="1">
        <v>0.153</v>
      </c>
      <c r="G27" s="1">
        <v>2.5099999999999998</v>
      </c>
      <c r="H27" s="1">
        <v>60</v>
      </c>
      <c r="I27" s="1">
        <v>0.83699999999999997</v>
      </c>
    </row>
    <row r="28" spans="1:9">
      <c r="A28" s="3" t="s">
        <v>1082</v>
      </c>
      <c r="B28" s="3" t="s">
        <v>14</v>
      </c>
      <c r="C28" s="3">
        <v>17</v>
      </c>
      <c r="D28" s="3">
        <v>0</v>
      </c>
      <c r="E28" s="3" t="s">
        <v>22</v>
      </c>
      <c r="F28" s="3">
        <v>-0.46300000000000002</v>
      </c>
      <c r="G28" s="3">
        <v>0.96299999999999997</v>
      </c>
      <c r="H28" s="3">
        <v>100</v>
      </c>
      <c r="I28" s="3">
        <v>0.69199999999999995</v>
      </c>
    </row>
    <row r="29" spans="1:9">
      <c r="A29" s="3" t="s">
        <v>935</v>
      </c>
      <c r="B29" s="3" t="s">
        <v>16</v>
      </c>
      <c r="C29" s="3">
        <v>25</v>
      </c>
      <c r="D29" s="3">
        <v>0</v>
      </c>
      <c r="E29" s="3" t="s">
        <v>22</v>
      </c>
      <c r="F29" s="3">
        <v>-0.316</v>
      </c>
      <c r="G29" s="3">
        <v>1.4159999999999999</v>
      </c>
      <c r="H29" s="3">
        <v>100</v>
      </c>
      <c r="I29" s="3">
        <v>0.69199999999999995</v>
      </c>
    </row>
    <row r="30" spans="1:9">
      <c r="A30" s="3" t="s">
        <v>97</v>
      </c>
      <c r="B30" s="3" t="s">
        <v>16</v>
      </c>
      <c r="C30" s="3">
        <v>27</v>
      </c>
      <c r="D30" s="3">
        <v>0</v>
      </c>
      <c r="E30" s="3" t="s">
        <v>22</v>
      </c>
      <c r="F30" s="3">
        <v>-2.7E-2</v>
      </c>
      <c r="G30" s="3">
        <v>1.5289999999999999</v>
      </c>
      <c r="H30" s="3">
        <v>100</v>
      </c>
      <c r="I30" s="3">
        <v>0.69199999999999995</v>
      </c>
    </row>
    <row r="31" spans="1:9">
      <c r="A31" s="3" t="s">
        <v>1083</v>
      </c>
      <c r="B31" s="3" t="s">
        <v>16</v>
      </c>
      <c r="C31" s="3">
        <v>31</v>
      </c>
      <c r="D31" s="3">
        <v>0</v>
      </c>
      <c r="E31" s="3" t="s">
        <v>22</v>
      </c>
      <c r="F31" s="3">
        <v>-0.28499999999999998</v>
      </c>
      <c r="G31" s="3">
        <v>1.7549999999999999</v>
      </c>
      <c r="H31" s="3">
        <v>100</v>
      </c>
      <c r="I31" s="3">
        <v>0.69199999999999995</v>
      </c>
    </row>
    <row r="32" spans="1:9">
      <c r="A32" s="3" t="s">
        <v>1084</v>
      </c>
      <c r="B32" s="3" t="s">
        <v>16</v>
      </c>
      <c r="C32" s="3">
        <v>20</v>
      </c>
      <c r="D32" s="3">
        <v>0</v>
      </c>
      <c r="E32" s="3" t="s">
        <v>22</v>
      </c>
      <c r="F32" s="3">
        <v>-0.26</v>
      </c>
      <c r="G32" s="3">
        <v>1.133</v>
      </c>
      <c r="H32" s="3">
        <v>100</v>
      </c>
      <c r="I32" s="3">
        <v>0.69199999999999995</v>
      </c>
    </row>
    <row r="33" spans="1:9">
      <c r="A33" s="1" t="s">
        <v>1085</v>
      </c>
      <c r="B33" s="1" t="s">
        <v>14</v>
      </c>
      <c r="C33" s="1">
        <v>19</v>
      </c>
      <c r="D33" s="1">
        <v>10</v>
      </c>
      <c r="E33" s="1" t="s">
        <v>15</v>
      </c>
      <c r="F33" s="1">
        <v>0.246</v>
      </c>
      <c r="G33" s="1">
        <v>2.0920000000000001</v>
      </c>
      <c r="H33" s="1">
        <v>52.631999999999998</v>
      </c>
      <c r="I33" s="1">
        <v>0.68600000000000005</v>
      </c>
    </row>
    <row r="34" spans="1:9">
      <c r="A34" s="1" t="s">
        <v>1086</v>
      </c>
      <c r="B34" s="1" t="s">
        <v>16</v>
      </c>
      <c r="C34" s="1">
        <v>95</v>
      </c>
      <c r="D34" s="1">
        <v>48</v>
      </c>
      <c r="E34" s="1" t="s">
        <v>15</v>
      </c>
      <c r="F34" s="1">
        <v>-0.45700000000000002</v>
      </c>
      <c r="G34" s="1">
        <v>10.042</v>
      </c>
      <c r="H34" s="1">
        <v>50.526000000000003</v>
      </c>
      <c r="I34" s="1">
        <v>0.64300000000000002</v>
      </c>
    </row>
    <row r="35" spans="1:9">
      <c r="A35" s="1" t="s">
        <v>1087</v>
      </c>
      <c r="B35" s="1" t="s">
        <v>14</v>
      </c>
      <c r="C35" s="1">
        <v>22</v>
      </c>
      <c r="D35" s="1">
        <v>11</v>
      </c>
      <c r="E35" s="1" t="s">
        <v>15</v>
      </c>
      <c r="F35" s="1">
        <v>8.8999999999999996E-2</v>
      </c>
      <c r="G35" s="1">
        <v>2.3010000000000002</v>
      </c>
      <c r="H35" s="1">
        <v>50</v>
      </c>
      <c r="I35" s="1">
        <v>0.63200000000000001</v>
      </c>
    </row>
    <row r="36" spans="1:9">
      <c r="A36" s="1" t="s">
        <v>1088</v>
      </c>
      <c r="B36" s="1" t="s">
        <v>16</v>
      </c>
      <c r="C36" s="1">
        <v>122</v>
      </c>
      <c r="D36" s="1">
        <v>61</v>
      </c>
      <c r="E36" s="1" t="s">
        <v>15</v>
      </c>
      <c r="F36" s="1">
        <v>-6.0000000000000001E-3</v>
      </c>
      <c r="G36" s="1">
        <v>12.762</v>
      </c>
      <c r="H36" s="1">
        <v>50</v>
      </c>
      <c r="I36" s="1">
        <v>0.63200000000000001</v>
      </c>
    </row>
    <row r="37" spans="1:9">
      <c r="A37" s="1" t="s">
        <v>1089</v>
      </c>
      <c r="B37" s="1" t="s">
        <v>16</v>
      </c>
      <c r="C37" s="1">
        <v>135</v>
      </c>
      <c r="D37" s="1">
        <v>67</v>
      </c>
      <c r="E37" s="1" t="s">
        <v>15</v>
      </c>
      <c r="F37" s="1">
        <v>-0.16600000000000001</v>
      </c>
      <c r="G37" s="1">
        <v>14.016999999999999</v>
      </c>
      <c r="H37" s="1">
        <v>49.63</v>
      </c>
      <c r="I37" s="1">
        <v>0.625</v>
      </c>
    </row>
    <row r="38" spans="1:9">
      <c r="A38" s="1" t="s">
        <v>1090</v>
      </c>
      <c r="B38" s="1" t="s">
        <v>16</v>
      </c>
      <c r="C38" s="1">
        <v>267</v>
      </c>
      <c r="D38" s="1">
        <v>130</v>
      </c>
      <c r="E38" s="1" t="s">
        <v>15</v>
      </c>
      <c r="F38" s="1">
        <v>2.9000000000000001E-2</v>
      </c>
      <c r="G38" s="1">
        <v>27.196999999999999</v>
      </c>
      <c r="H38" s="1">
        <v>48.689</v>
      </c>
      <c r="I38" s="1">
        <v>0.60499999999999998</v>
      </c>
    </row>
    <row r="39" spans="1:9">
      <c r="A39" s="1" t="s">
        <v>1091</v>
      </c>
      <c r="B39" s="1" t="s">
        <v>16</v>
      </c>
      <c r="C39" s="1">
        <v>300</v>
      </c>
      <c r="D39" s="1">
        <v>146</v>
      </c>
      <c r="E39" s="1" t="s">
        <v>15</v>
      </c>
      <c r="F39" s="1">
        <v>2.5000000000000001E-2</v>
      </c>
      <c r="G39" s="1">
        <v>30.544</v>
      </c>
      <c r="H39" s="1">
        <v>48.667000000000002</v>
      </c>
      <c r="I39" s="1">
        <v>0.60499999999999998</v>
      </c>
    </row>
    <row r="40" spans="1:9">
      <c r="A40" s="1" t="s">
        <v>1092</v>
      </c>
      <c r="B40" s="1" t="s">
        <v>16</v>
      </c>
      <c r="C40" s="1">
        <v>247</v>
      </c>
      <c r="D40" s="1">
        <v>120</v>
      </c>
      <c r="E40" s="1" t="s">
        <v>15</v>
      </c>
      <c r="F40" s="1">
        <v>2.8000000000000001E-2</v>
      </c>
      <c r="G40" s="1">
        <v>25.105</v>
      </c>
      <c r="H40" s="1">
        <v>48.582999999999998</v>
      </c>
      <c r="I40" s="1">
        <v>0.60299999999999998</v>
      </c>
    </row>
    <row r="41" spans="1:9">
      <c r="A41" s="1" t="s">
        <v>1093</v>
      </c>
      <c r="B41" s="1" t="s">
        <v>16</v>
      </c>
      <c r="C41" s="1">
        <v>303</v>
      </c>
      <c r="D41" s="1">
        <v>147</v>
      </c>
      <c r="E41" s="1" t="s">
        <v>15</v>
      </c>
      <c r="F41" s="1">
        <v>5.8000000000000003E-2</v>
      </c>
      <c r="G41" s="1">
        <v>30.753</v>
      </c>
      <c r="H41" s="1">
        <v>48.515000000000001</v>
      </c>
      <c r="I41" s="1">
        <v>0.60099999999999998</v>
      </c>
    </row>
    <row r="42" spans="1:9">
      <c r="A42" s="1" t="s">
        <v>1094</v>
      </c>
      <c r="B42" s="1" t="s">
        <v>14</v>
      </c>
      <c r="C42" s="1">
        <v>21</v>
      </c>
      <c r="D42" s="1">
        <v>10</v>
      </c>
      <c r="E42" s="1" t="s">
        <v>15</v>
      </c>
      <c r="F42" s="1">
        <v>0.13200000000000001</v>
      </c>
      <c r="G42" s="1">
        <v>2.0920000000000001</v>
      </c>
      <c r="H42" s="1">
        <v>47.619</v>
      </c>
      <c r="I42" s="1">
        <v>0.58299999999999996</v>
      </c>
    </row>
    <row r="43" spans="1:9">
      <c r="A43" s="1" t="s">
        <v>1095</v>
      </c>
      <c r="B43" s="1" t="s">
        <v>14</v>
      </c>
      <c r="C43" s="1">
        <v>21</v>
      </c>
      <c r="D43" s="1">
        <v>10</v>
      </c>
      <c r="E43" s="1" t="s">
        <v>15</v>
      </c>
      <c r="F43" s="1">
        <v>0.22700000000000001</v>
      </c>
      <c r="G43" s="1">
        <v>2.0920000000000001</v>
      </c>
      <c r="H43" s="1">
        <v>47.619</v>
      </c>
      <c r="I43" s="1">
        <v>0.58299999999999996</v>
      </c>
    </row>
    <row r="44" spans="1:9">
      <c r="A44" s="1" t="s">
        <v>390</v>
      </c>
      <c r="B44" s="1" t="s">
        <v>16</v>
      </c>
      <c r="C44" s="1">
        <v>285</v>
      </c>
      <c r="D44" s="1">
        <v>134</v>
      </c>
      <c r="E44" s="1" t="s">
        <v>15</v>
      </c>
      <c r="F44" s="1">
        <v>2.1999999999999999E-2</v>
      </c>
      <c r="G44" s="1">
        <v>28.033000000000001</v>
      </c>
      <c r="H44" s="1">
        <v>47.018000000000001</v>
      </c>
      <c r="I44" s="1">
        <v>0.56999999999999995</v>
      </c>
    </row>
    <row r="45" spans="1:9">
      <c r="A45" s="1" t="s">
        <v>1096</v>
      </c>
      <c r="B45" s="1" t="s">
        <v>14</v>
      </c>
      <c r="C45" s="1">
        <v>15</v>
      </c>
      <c r="D45" s="1">
        <v>7</v>
      </c>
      <c r="E45" s="1" t="s">
        <v>15</v>
      </c>
      <c r="F45" s="1">
        <v>0.36399999999999999</v>
      </c>
      <c r="G45" s="1">
        <v>1.464</v>
      </c>
      <c r="H45" s="1">
        <v>46.667000000000002</v>
      </c>
      <c r="I45" s="1">
        <v>0.56299999999999994</v>
      </c>
    </row>
    <row r="46" spans="1:9">
      <c r="A46" s="1" t="s">
        <v>1097</v>
      </c>
      <c r="B46" s="1" t="s">
        <v>14</v>
      </c>
      <c r="C46" s="1">
        <v>13</v>
      </c>
      <c r="D46" s="1">
        <v>6</v>
      </c>
      <c r="E46" s="1" t="s">
        <v>15</v>
      </c>
      <c r="F46" s="1">
        <v>0.39800000000000002</v>
      </c>
      <c r="G46" s="1">
        <v>1.2549999999999999</v>
      </c>
      <c r="H46" s="1">
        <v>46.154000000000003</v>
      </c>
      <c r="I46" s="1">
        <v>0.55200000000000005</v>
      </c>
    </row>
    <row r="47" spans="1:9">
      <c r="A47" s="1" t="s">
        <v>1098</v>
      </c>
      <c r="B47" s="1" t="s">
        <v>16</v>
      </c>
      <c r="C47" s="1">
        <v>361</v>
      </c>
      <c r="D47" s="1">
        <v>165</v>
      </c>
      <c r="E47" s="1" t="s">
        <v>15</v>
      </c>
      <c r="F47" s="1">
        <v>1.9E-2</v>
      </c>
      <c r="G47" s="1">
        <v>34.518999999999998</v>
      </c>
      <c r="H47" s="1">
        <v>45.706000000000003</v>
      </c>
      <c r="I47" s="1">
        <v>0.54300000000000004</v>
      </c>
    </row>
    <row r="48" spans="1:9">
      <c r="A48" s="1" t="s">
        <v>940</v>
      </c>
      <c r="B48" s="1" t="s">
        <v>16</v>
      </c>
      <c r="C48" s="1">
        <v>368</v>
      </c>
      <c r="D48" s="1">
        <v>167</v>
      </c>
      <c r="E48" s="1" t="s">
        <v>15</v>
      </c>
      <c r="F48" s="1">
        <v>6.8000000000000005E-2</v>
      </c>
      <c r="G48" s="1">
        <v>34.936999999999998</v>
      </c>
      <c r="H48" s="1">
        <v>45.38</v>
      </c>
      <c r="I48" s="1">
        <v>0.53600000000000003</v>
      </c>
    </row>
    <row r="49" spans="1:9">
      <c r="A49" s="1" t="s">
        <v>941</v>
      </c>
      <c r="B49" s="1" t="s">
        <v>16</v>
      </c>
      <c r="C49" s="1">
        <v>395</v>
      </c>
      <c r="D49" s="1">
        <v>179</v>
      </c>
      <c r="E49" s="1" t="s">
        <v>15</v>
      </c>
      <c r="F49" s="1">
        <v>5.0999999999999997E-2</v>
      </c>
      <c r="G49" s="1">
        <v>37.448</v>
      </c>
      <c r="H49" s="1">
        <v>45.316000000000003</v>
      </c>
      <c r="I49" s="1">
        <v>0.53500000000000003</v>
      </c>
    </row>
    <row r="50" spans="1:9">
      <c r="A50" s="1" t="s">
        <v>17</v>
      </c>
      <c r="B50" s="1" t="s">
        <v>16</v>
      </c>
      <c r="C50" s="1">
        <v>402</v>
      </c>
      <c r="D50" s="1">
        <v>181</v>
      </c>
      <c r="E50" s="1" t="s">
        <v>15</v>
      </c>
      <c r="F50" s="1">
        <v>0.02</v>
      </c>
      <c r="G50" s="1">
        <v>37.866</v>
      </c>
      <c r="H50" s="1">
        <v>45.024999999999999</v>
      </c>
      <c r="I50" s="1">
        <v>0.52900000000000003</v>
      </c>
    </row>
    <row r="51" spans="1:9">
      <c r="A51" s="1" t="s">
        <v>1099</v>
      </c>
      <c r="B51" s="1" t="s">
        <v>16</v>
      </c>
      <c r="C51" s="1">
        <v>20</v>
      </c>
      <c r="D51" s="1">
        <v>9</v>
      </c>
      <c r="E51" s="1" t="s">
        <v>15</v>
      </c>
      <c r="F51" s="1">
        <v>4.8000000000000001E-2</v>
      </c>
      <c r="G51" s="1">
        <v>1.883</v>
      </c>
      <c r="H51" s="1">
        <v>45</v>
      </c>
      <c r="I51" s="1">
        <v>0.52800000000000002</v>
      </c>
    </row>
    <row r="52" spans="1:9">
      <c r="A52" s="3" t="s">
        <v>942</v>
      </c>
      <c r="B52" s="3" t="s">
        <v>14</v>
      </c>
      <c r="C52" s="3">
        <v>26</v>
      </c>
      <c r="D52" s="3">
        <v>1</v>
      </c>
      <c r="E52" s="3" t="s">
        <v>22</v>
      </c>
      <c r="F52" s="3">
        <v>-0.18</v>
      </c>
      <c r="G52" s="3">
        <v>1.4159999999999999</v>
      </c>
      <c r="H52" s="3">
        <v>96.153999999999996</v>
      </c>
      <c r="I52" s="3">
        <v>0.504</v>
      </c>
    </row>
    <row r="53" spans="1:9">
      <c r="A53" s="3" t="s">
        <v>1100</v>
      </c>
      <c r="B53" s="3" t="s">
        <v>14</v>
      </c>
      <c r="C53" s="3">
        <v>24</v>
      </c>
      <c r="D53" s="3">
        <v>1</v>
      </c>
      <c r="E53" s="3" t="s">
        <v>22</v>
      </c>
      <c r="F53" s="3">
        <v>-0.17599999999999999</v>
      </c>
      <c r="G53" s="3">
        <v>1.302</v>
      </c>
      <c r="H53" s="3">
        <v>95.832999999999998</v>
      </c>
      <c r="I53" s="3">
        <v>0.49199999999999999</v>
      </c>
    </row>
    <row r="54" spans="1:9">
      <c r="A54" s="3" t="s">
        <v>1101</v>
      </c>
      <c r="B54" s="3" t="s">
        <v>14</v>
      </c>
      <c r="C54" s="3">
        <v>23</v>
      </c>
      <c r="D54" s="3">
        <v>1</v>
      </c>
      <c r="E54" s="3" t="s">
        <v>22</v>
      </c>
      <c r="F54" s="3">
        <v>-1.2999999999999999E-2</v>
      </c>
      <c r="G54" s="3">
        <v>1.246</v>
      </c>
      <c r="H54" s="3">
        <v>95.652000000000001</v>
      </c>
      <c r="I54" s="3">
        <v>0.48499999999999999</v>
      </c>
    </row>
    <row r="55" spans="1:9">
      <c r="A55" s="3" t="s">
        <v>1102</v>
      </c>
      <c r="B55" s="3" t="s">
        <v>14</v>
      </c>
      <c r="C55" s="3">
        <v>23</v>
      </c>
      <c r="D55" s="3">
        <v>1</v>
      </c>
      <c r="E55" s="3" t="s">
        <v>22</v>
      </c>
      <c r="F55" s="3">
        <v>-0.17699999999999999</v>
      </c>
      <c r="G55" s="3">
        <v>1.246</v>
      </c>
      <c r="H55" s="3">
        <v>95.652000000000001</v>
      </c>
      <c r="I55" s="3">
        <v>0.48499999999999999</v>
      </c>
    </row>
    <row r="56" spans="1:9">
      <c r="A56" s="3" t="s">
        <v>1103</v>
      </c>
      <c r="B56" s="3" t="s">
        <v>14</v>
      </c>
      <c r="C56" s="3">
        <v>23</v>
      </c>
      <c r="D56" s="3">
        <v>1</v>
      </c>
      <c r="E56" s="3" t="s">
        <v>22</v>
      </c>
      <c r="F56" s="3">
        <v>-2.3E-2</v>
      </c>
      <c r="G56" s="3">
        <v>1.246</v>
      </c>
      <c r="H56" s="3">
        <v>95.652000000000001</v>
      </c>
      <c r="I56" s="3">
        <v>0.48499999999999999</v>
      </c>
    </row>
    <row r="57" spans="1:9">
      <c r="A57" s="1" t="s">
        <v>946</v>
      </c>
      <c r="B57" s="1" t="s">
        <v>14</v>
      </c>
      <c r="C57" s="1">
        <v>14</v>
      </c>
      <c r="D57" s="1">
        <v>6</v>
      </c>
      <c r="E57" s="1" t="s">
        <v>15</v>
      </c>
      <c r="F57" s="1">
        <v>3.7999999999999999E-2</v>
      </c>
      <c r="G57" s="1">
        <v>1.2549999999999999</v>
      </c>
      <c r="H57" s="1">
        <v>42.856999999999999</v>
      </c>
      <c r="I57" s="1">
        <v>0.48299999999999998</v>
      </c>
    </row>
    <row r="58" spans="1:9">
      <c r="A58" s="1" t="s">
        <v>1104</v>
      </c>
      <c r="B58" s="1" t="s">
        <v>14</v>
      </c>
      <c r="C58" s="1">
        <v>14</v>
      </c>
      <c r="D58" s="1">
        <v>6</v>
      </c>
      <c r="E58" s="1" t="s">
        <v>15</v>
      </c>
      <c r="F58" s="1">
        <v>0.55500000000000005</v>
      </c>
      <c r="G58" s="1">
        <v>1.2549999999999999</v>
      </c>
      <c r="H58" s="1">
        <v>42.856999999999999</v>
      </c>
      <c r="I58" s="1">
        <v>0.48299999999999998</v>
      </c>
    </row>
    <row r="59" spans="1:9">
      <c r="A59" s="1" t="s">
        <v>1105</v>
      </c>
      <c r="B59" s="1" t="s">
        <v>14</v>
      </c>
      <c r="C59" s="1">
        <v>14</v>
      </c>
      <c r="D59" s="1">
        <v>6</v>
      </c>
      <c r="E59" s="1" t="s">
        <v>15</v>
      </c>
      <c r="F59" s="1">
        <v>0.105</v>
      </c>
      <c r="G59" s="1">
        <v>1.2549999999999999</v>
      </c>
      <c r="H59" s="1">
        <v>42.856999999999999</v>
      </c>
      <c r="I59" s="1">
        <v>0.48299999999999998</v>
      </c>
    </row>
    <row r="60" spans="1:9">
      <c r="A60" s="1" t="s">
        <v>1106</v>
      </c>
      <c r="B60" s="1" t="s">
        <v>16</v>
      </c>
      <c r="C60" s="1">
        <v>64</v>
      </c>
      <c r="D60" s="1">
        <v>27</v>
      </c>
      <c r="E60" s="1" t="s">
        <v>15</v>
      </c>
      <c r="F60" s="1">
        <v>-0.02</v>
      </c>
      <c r="G60" s="1">
        <v>5.649</v>
      </c>
      <c r="H60" s="1">
        <v>42.188000000000002</v>
      </c>
      <c r="I60" s="1">
        <v>0.46899999999999997</v>
      </c>
    </row>
    <row r="61" spans="1:9">
      <c r="A61" s="1" t="s">
        <v>1107</v>
      </c>
      <c r="B61" s="1" t="s">
        <v>14</v>
      </c>
      <c r="C61" s="1">
        <v>36</v>
      </c>
      <c r="D61" s="1">
        <v>15</v>
      </c>
      <c r="E61" s="1" t="s">
        <v>15</v>
      </c>
      <c r="F61" s="1">
        <v>9.0999999999999998E-2</v>
      </c>
      <c r="G61" s="1">
        <v>3.1379999999999999</v>
      </c>
      <c r="H61" s="1">
        <v>41.667000000000002</v>
      </c>
      <c r="I61" s="1">
        <v>0.45800000000000002</v>
      </c>
    </row>
    <row r="62" spans="1:9">
      <c r="A62" s="1" t="s">
        <v>1108</v>
      </c>
      <c r="B62" s="1" t="s">
        <v>14</v>
      </c>
      <c r="C62" s="1">
        <v>12</v>
      </c>
      <c r="D62" s="1">
        <v>5</v>
      </c>
      <c r="E62" s="1" t="s">
        <v>15</v>
      </c>
      <c r="F62" s="1">
        <v>5.7000000000000002E-2</v>
      </c>
      <c r="G62" s="1">
        <v>1.046</v>
      </c>
      <c r="H62" s="1">
        <v>41.667000000000002</v>
      </c>
      <c r="I62" s="1">
        <v>0.45800000000000002</v>
      </c>
    </row>
    <row r="63" spans="1:9">
      <c r="A63" s="3" t="s">
        <v>1109</v>
      </c>
      <c r="B63" s="3" t="s">
        <v>16</v>
      </c>
      <c r="C63" s="3">
        <v>59</v>
      </c>
      <c r="D63" s="3">
        <v>3</v>
      </c>
      <c r="E63" s="3" t="s">
        <v>22</v>
      </c>
      <c r="F63" s="3">
        <v>-0.05</v>
      </c>
      <c r="G63" s="3">
        <v>3.1709999999999998</v>
      </c>
      <c r="H63" s="3">
        <v>94.915000000000006</v>
      </c>
      <c r="I63" s="3">
        <v>0.45800000000000002</v>
      </c>
    </row>
    <row r="64" spans="1:9">
      <c r="A64" s="1" t="s">
        <v>1110</v>
      </c>
      <c r="B64" s="1" t="s">
        <v>16</v>
      </c>
      <c r="C64" s="1">
        <v>88</v>
      </c>
      <c r="D64" s="1">
        <v>36</v>
      </c>
      <c r="E64" s="1" t="s">
        <v>15</v>
      </c>
      <c r="F64" s="1">
        <v>-1.7999999999999999E-2</v>
      </c>
      <c r="G64" s="1">
        <v>7.5309999999999997</v>
      </c>
      <c r="H64" s="1">
        <v>40.908999999999999</v>
      </c>
      <c r="I64" s="1">
        <v>0.442</v>
      </c>
    </row>
    <row r="65" spans="1:9">
      <c r="A65" s="1" t="s">
        <v>947</v>
      </c>
      <c r="B65" s="1" t="s">
        <v>16</v>
      </c>
      <c r="C65" s="1">
        <v>54</v>
      </c>
      <c r="D65" s="1">
        <v>22</v>
      </c>
      <c r="E65" s="1" t="s">
        <v>15</v>
      </c>
      <c r="F65" s="1">
        <v>7.8E-2</v>
      </c>
      <c r="G65" s="1">
        <v>4.6029999999999998</v>
      </c>
      <c r="H65" s="1">
        <v>40.741</v>
      </c>
      <c r="I65" s="1">
        <v>0.438</v>
      </c>
    </row>
    <row r="66" spans="1:9">
      <c r="A66" s="1" t="s">
        <v>1111</v>
      </c>
      <c r="B66" s="1" t="s">
        <v>16</v>
      </c>
      <c r="C66" s="1">
        <v>54</v>
      </c>
      <c r="D66" s="1">
        <v>22</v>
      </c>
      <c r="E66" s="1" t="s">
        <v>15</v>
      </c>
      <c r="F66" s="1">
        <v>0</v>
      </c>
      <c r="G66" s="1">
        <v>4.6029999999999998</v>
      </c>
      <c r="H66" s="1">
        <v>40.741</v>
      </c>
      <c r="I66" s="1">
        <v>0.438</v>
      </c>
    </row>
    <row r="67" spans="1:9">
      <c r="A67" s="3" t="s">
        <v>1112</v>
      </c>
      <c r="B67" s="3" t="s">
        <v>16</v>
      </c>
      <c r="C67" s="3">
        <v>102</v>
      </c>
      <c r="D67" s="3">
        <v>6</v>
      </c>
      <c r="E67" s="3" t="s">
        <v>22</v>
      </c>
      <c r="F67" s="3">
        <v>-0.127</v>
      </c>
      <c r="G67" s="3">
        <v>5.4359999999999999</v>
      </c>
      <c r="H67" s="3">
        <v>94.117999999999995</v>
      </c>
      <c r="I67" s="3">
        <v>0.43099999999999999</v>
      </c>
    </row>
    <row r="68" spans="1:9">
      <c r="A68" s="3" t="s">
        <v>1113</v>
      </c>
      <c r="B68" s="3" t="s">
        <v>14</v>
      </c>
      <c r="C68" s="3">
        <v>33</v>
      </c>
      <c r="D68" s="3">
        <v>2</v>
      </c>
      <c r="E68" s="3" t="s">
        <v>22</v>
      </c>
      <c r="F68" s="3">
        <v>-0.40500000000000003</v>
      </c>
      <c r="G68" s="3">
        <v>1.7549999999999999</v>
      </c>
      <c r="H68" s="3">
        <v>93.938999999999993</v>
      </c>
      <c r="I68" s="3">
        <v>0.42499999999999999</v>
      </c>
    </row>
    <row r="69" spans="1:9">
      <c r="A69" s="1" t="s">
        <v>1114</v>
      </c>
      <c r="B69" s="1" t="s">
        <v>14</v>
      </c>
      <c r="C69" s="1">
        <v>15</v>
      </c>
      <c r="D69" s="1">
        <v>6</v>
      </c>
      <c r="E69" s="1" t="s">
        <v>15</v>
      </c>
      <c r="F69" s="1">
        <v>4.0000000000000001E-3</v>
      </c>
      <c r="G69" s="1">
        <v>1.2549999999999999</v>
      </c>
      <c r="H69" s="1">
        <v>40</v>
      </c>
      <c r="I69" s="1">
        <v>0.42299999999999999</v>
      </c>
    </row>
    <row r="70" spans="1:9">
      <c r="A70" s="3" t="s">
        <v>1115</v>
      </c>
      <c r="B70" s="3" t="s">
        <v>16</v>
      </c>
      <c r="C70" s="3">
        <v>61</v>
      </c>
      <c r="D70" s="3">
        <v>4</v>
      </c>
      <c r="E70" s="3" t="s">
        <v>22</v>
      </c>
      <c r="F70" s="3">
        <v>-0.13800000000000001</v>
      </c>
      <c r="G70" s="3">
        <v>3.2280000000000002</v>
      </c>
      <c r="H70" s="3">
        <v>93.442999999999998</v>
      </c>
      <c r="I70" s="3">
        <v>0.40799999999999997</v>
      </c>
    </row>
    <row r="71" spans="1:9">
      <c r="A71" s="3" t="s">
        <v>1116</v>
      </c>
      <c r="B71" s="3" t="s">
        <v>14</v>
      </c>
      <c r="C71" s="3">
        <v>30</v>
      </c>
      <c r="D71" s="3">
        <v>2</v>
      </c>
      <c r="E71" s="3" t="s">
        <v>22</v>
      </c>
      <c r="F71" s="3">
        <v>-0.46600000000000003</v>
      </c>
      <c r="G71" s="3">
        <v>1.5860000000000001</v>
      </c>
      <c r="H71" s="3">
        <v>93.332999999999998</v>
      </c>
      <c r="I71" s="3">
        <v>0.40400000000000003</v>
      </c>
    </row>
    <row r="72" spans="1:9">
      <c r="A72" s="1" t="s">
        <v>367</v>
      </c>
      <c r="B72" s="1" t="s">
        <v>16</v>
      </c>
      <c r="C72" s="1">
        <v>64</v>
      </c>
      <c r="D72" s="1">
        <v>25</v>
      </c>
      <c r="E72" s="1" t="s">
        <v>15</v>
      </c>
      <c r="F72" s="1">
        <v>0.111</v>
      </c>
      <c r="G72" s="1">
        <v>5.23</v>
      </c>
      <c r="H72" s="1">
        <v>39.061999999999998</v>
      </c>
      <c r="I72" s="1">
        <v>0.40300000000000002</v>
      </c>
    </row>
    <row r="73" spans="1:9">
      <c r="A73" s="1" t="s">
        <v>1117</v>
      </c>
      <c r="B73" s="1" t="s">
        <v>14</v>
      </c>
      <c r="C73" s="1">
        <v>18</v>
      </c>
      <c r="D73" s="1">
        <v>7</v>
      </c>
      <c r="E73" s="1" t="s">
        <v>15</v>
      </c>
      <c r="F73" s="1">
        <v>2.8000000000000001E-2</v>
      </c>
      <c r="G73" s="1">
        <v>1.464</v>
      </c>
      <c r="H73" s="1">
        <v>38.889000000000003</v>
      </c>
      <c r="I73" s="1">
        <v>0.39900000000000002</v>
      </c>
    </row>
    <row r="74" spans="1:9">
      <c r="A74" s="1" t="s">
        <v>1118</v>
      </c>
      <c r="B74" s="1" t="s">
        <v>14</v>
      </c>
      <c r="C74" s="1">
        <v>18</v>
      </c>
      <c r="D74" s="1">
        <v>7</v>
      </c>
      <c r="E74" s="1" t="s">
        <v>15</v>
      </c>
      <c r="F74" s="1">
        <v>0.123</v>
      </c>
      <c r="G74" s="1">
        <v>1.464</v>
      </c>
      <c r="H74" s="1">
        <v>38.889000000000003</v>
      </c>
      <c r="I74" s="1">
        <v>0.39900000000000002</v>
      </c>
    </row>
    <row r="75" spans="1:9">
      <c r="A75" s="3" t="s">
        <v>1119</v>
      </c>
      <c r="B75" s="3" t="s">
        <v>16</v>
      </c>
      <c r="C75" s="3">
        <v>73</v>
      </c>
      <c r="D75" s="3">
        <v>5</v>
      </c>
      <c r="E75" s="3" t="s">
        <v>22</v>
      </c>
      <c r="F75" s="3">
        <v>-0.20200000000000001</v>
      </c>
      <c r="G75" s="3">
        <v>3.851</v>
      </c>
      <c r="H75" s="3">
        <v>93.150999999999996</v>
      </c>
      <c r="I75" s="3">
        <v>0.39800000000000002</v>
      </c>
    </row>
    <row r="76" spans="1:9">
      <c r="A76" s="3" t="s">
        <v>952</v>
      </c>
      <c r="B76" s="3" t="s">
        <v>16</v>
      </c>
      <c r="C76" s="3">
        <v>83</v>
      </c>
      <c r="D76" s="3">
        <v>6</v>
      </c>
      <c r="E76" s="3" t="s">
        <v>22</v>
      </c>
      <c r="F76" s="3">
        <v>-0.16400000000000001</v>
      </c>
      <c r="G76" s="3">
        <v>4.3600000000000003</v>
      </c>
      <c r="H76" s="3">
        <v>92.771000000000001</v>
      </c>
      <c r="I76" s="3">
        <v>0.38600000000000001</v>
      </c>
    </row>
    <row r="77" spans="1:9">
      <c r="A77" s="3" t="s">
        <v>1120</v>
      </c>
      <c r="B77" s="3" t="s">
        <v>14</v>
      </c>
      <c r="C77" s="3">
        <v>41</v>
      </c>
      <c r="D77" s="3">
        <v>3</v>
      </c>
      <c r="E77" s="3" t="s">
        <v>22</v>
      </c>
      <c r="F77" s="3">
        <v>-0.21199999999999999</v>
      </c>
      <c r="G77" s="3">
        <v>2.1520000000000001</v>
      </c>
      <c r="H77" s="3">
        <v>92.683000000000007</v>
      </c>
      <c r="I77" s="3">
        <v>0.38300000000000001</v>
      </c>
    </row>
    <row r="78" spans="1:9">
      <c r="A78" s="3" t="s">
        <v>953</v>
      </c>
      <c r="B78" s="3" t="s">
        <v>14</v>
      </c>
      <c r="C78" s="3">
        <v>53</v>
      </c>
      <c r="D78" s="3">
        <v>4</v>
      </c>
      <c r="E78" s="3" t="s">
        <v>22</v>
      </c>
      <c r="F78" s="3">
        <v>-0.314</v>
      </c>
      <c r="G78" s="3">
        <v>2.7749999999999999</v>
      </c>
      <c r="H78" s="3">
        <v>92.453000000000003</v>
      </c>
      <c r="I78" s="3">
        <v>0.376</v>
      </c>
    </row>
    <row r="79" spans="1:9">
      <c r="A79" s="3" t="s">
        <v>954</v>
      </c>
      <c r="B79" s="3" t="s">
        <v>16</v>
      </c>
      <c r="C79" s="3">
        <v>91</v>
      </c>
      <c r="D79" s="3">
        <v>7</v>
      </c>
      <c r="E79" s="3" t="s">
        <v>22</v>
      </c>
      <c r="F79" s="3">
        <v>-0.115</v>
      </c>
      <c r="G79" s="3">
        <v>4.7569999999999997</v>
      </c>
      <c r="H79" s="3">
        <v>92.308000000000007</v>
      </c>
      <c r="I79" s="3">
        <v>0.371</v>
      </c>
    </row>
    <row r="80" spans="1:9">
      <c r="A80" s="3" t="s">
        <v>1121</v>
      </c>
      <c r="B80" s="3" t="s">
        <v>16</v>
      </c>
      <c r="C80" s="3">
        <v>181</v>
      </c>
      <c r="D80" s="3">
        <v>14</v>
      </c>
      <c r="E80" s="3" t="s">
        <v>22</v>
      </c>
      <c r="F80" s="3">
        <v>-0.112</v>
      </c>
      <c r="G80" s="3">
        <v>9.4559999999999995</v>
      </c>
      <c r="H80" s="3">
        <v>92.265000000000001</v>
      </c>
      <c r="I80" s="3">
        <v>0.37</v>
      </c>
    </row>
    <row r="81" spans="1:9">
      <c r="A81" s="1" t="s">
        <v>1122</v>
      </c>
      <c r="B81" s="1" t="s">
        <v>14</v>
      </c>
      <c r="C81" s="1">
        <v>24</v>
      </c>
      <c r="D81" s="1">
        <v>9</v>
      </c>
      <c r="E81" s="1" t="s">
        <v>15</v>
      </c>
      <c r="F81" s="1">
        <v>0.11899999999999999</v>
      </c>
      <c r="G81" s="1">
        <v>1.883</v>
      </c>
      <c r="H81" s="1">
        <v>37.5</v>
      </c>
      <c r="I81" s="1">
        <v>0.36899999999999999</v>
      </c>
    </row>
    <row r="82" spans="1:9">
      <c r="A82" s="3" t="s">
        <v>1123</v>
      </c>
      <c r="B82" s="3" t="s">
        <v>16</v>
      </c>
      <c r="C82" s="3">
        <v>189</v>
      </c>
      <c r="D82" s="3">
        <v>15</v>
      </c>
      <c r="E82" s="3" t="s">
        <v>22</v>
      </c>
      <c r="F82" s="3">
        <v>-1.4999999999999999E-2</v>
      </c>
      <c r="G82" s="3">
        <v>9.8529999999999998</v>
      </c>
      <c r="H82" s="3">
        <v>92.063000000000002</v>
      </c>
      <c r="I82" s="3">
        <v>0.36299999999999999</v>
      </c>
    </row>
    <row r="83" spans="1:9">
      <c r="A83" s="1" t="s">
        <v>1124</v>
      </c>
      <c r="B83" s="1" t="s">
        <v>16</v>
      </c>
      <c r="C83" s="1">
        <v>82</v>
      </c>
      <c r="D83" s="1">
        <v>30</v>
      </c>
      <c r="E83" s="1" t="s">
        <v>15</v>
      </c>
      <c r="F83" s="1">
        <v>-3.6999999999999998E-2</v>
      </c>
      <c r="G83" s="1">
        <v>6.2759999999999998</v>
      </c>
      <c r="H83" s="1">
        <v>36.585000000000001</v>
      </c>
      <c r="I83" s="1">
        <v>0.34899999999999998</v>
      </c>
    </row>
    <row r="84" spans="1:9">
      <c r="A84" s="1" t="s">
        <v>1125</v>
      </c>
      <c r="B84" s="1" t="s">
        <v>14</v>
      </c>
      <c r="C84" s="1">
        <v>36</v>
      </c>
      <c r="D84" s="1">
        <v>13</v>
      </c>
      <c r="E84" s="1" t="s">
        <v>15</v>
      </c>
      <c r="F84" s="1">
        <v>0.32500000000000001</v>
      </c>
      <c r="G84" s="1">
        <v>2.72</v>
      </c>
      <c r="H84" s="1">
        <v>36.110999999999997</v>
      </c>
      <c r="I84" s="1">
        <v>0.33900000000000002</v>
      </c>
    </row>
    <row r="85" spans="1:9">
      <c r="A85" s="3" t="s">
        <v>1126</v>
      </c>
      <c r="B85" s="3" t="s">
        <v>16</v>
      </c>
      <c r="C85" s="3">
        <v>183</v>
      </c>
      <c r="D85" s="3">
        <v>16</v>
      </c>
      <c r="E85" s="3" t="s">
        <v>22</v>
      </c>
      <c r="F85" s="3">
        <v>-4.2000000000000003E-2</v>
      </c>
      <c r="G85" s="3">
        <v>9.4559999999999995</v>
      </c>
      <c r="H85" s="3">
        <v>91.257000000000005</v>
      </c>
      <c r="I85" s="3">
        <v>0.33800000000000002</v>
      </c>
    </row>
    <row r="86" spans="1:9">
      <c r="A86" s="3" t="s">
        <v>1127</v>
      </c>
      <c r="B86" s="3" t="s">
        <v>16</v>
      </c>
      <c r="C86" s="3">
        <v>239</v>
      </c>
      <c r="D86" s="3">
        <v>21</v>
      </c>
      <c r="E86" s="3" t="s">
        <v>22</v>
      </c>
      <c r="F86" s="3">
        <v>-7.4999999999999997E-2</v>
      </c>
      <c r="G86" s="3">
        <v>12.343999999999999</v>
      </c>
      <c r="H86" s="3">
        <v>91.212999999999994</v>
      </c>
      <c r="I86" s="3">
        <v>0.33700000000000002</v>
      </c>
    </row>
    <row r="87" spans="1:9">
      <c r="A87" s="3" t="s">
        <v>1128</v>
      </c>
      <c r="B87" s="3" t="s">
        <v>14</v>
      </c>
      <c r="C87" s="3">
        <v>79</v>
      </c>
      <c r="D87" s="3">
        <v>7</v>
      </c>
      <c r="E87" s="3" t="s">
        <v>22</v>
      </c>
      <c r="F87" s="3">
        <v>-1.2999999999999999E-2</v>
      </c>
      <c r="G87" s="3">
        <v>4.077</v>
      </c>
      <c r="H87" s="3">
        <v>91.138999999999996</v>
      </c>
      <c r="I87" s="3">
        <v>0.33500000000000002</v>
      </c>
    </row>
    <row r="88" spans="1:9">
      <c r="A88" s="3" t="s">
        <v>1129</v>
      </c>
      <c r="B88" s="3" t="s">
        <v>16</v>
      </c>
      <c r="C88" s="3">
        <v>196</v>
      </c>
      <c r="D88" s="3">
        <v>18</v>
      </c>
      <c r="E88" s="3" t="s">
        <v>22</v>
      </c>
      <c r="F88" s="3">
        <v>-5.7000000000000002E-2</v>
      </c>
      <c r="G88" s="3">
        <v>10.079000000000001</v>
      </c>
      <c r="H88" s="3">
        <v>90.816000000000003</v>
      </c>
      <c r="I88" s="3">
        <v>0.32500000000000001</v>
      </c>
    </row>
    <row r="89" spans="1:9">
      <c r="A89" s="1" t="s">
        <v>1130</v>
      </c>
      <c r="B89" s="1" t="s">
        <v>16</v>
      </c>
      <c r="C89" s="1">
        <v>34</v>
      </c>
      <c r="D89" s="1">
        <v>12</v>
      </c>
      <c r="E89" s="1" t="s">
        <v>15</v>
      </c>
      <c r="F89" s="1">
        <v>0.156</v>
      </c>
      <c r="G89" s="1">
        <v>2.5099999999999998</v>
      </c>
      <c r="H89" s="1">
        <v>35.293999999999997</v>
      </c>
      <c r="I89" s="1">
        <v>0.32100000000000001</v>
      </c>
    </row>
    <row r="90" spans="1:9">
      <c r="A90" s="1" t="s">
        <v>1131</v>
      </c>
      <c r="B90" s="1" t="s">
        <v>14</v>
      </c>
      <c r="C90" s="1">
        <v>17</v>
      </c>
      <c r="D90" s="1">
        <v>6</v>
      </c>
      <c r="E90" s="1" t="s">
        <v>15</v>
      </c>
      <c r="F90" s="1">
        <v>9.4E-2</v>
      </c>
      <c r="G90" s="1">
        <v>1.2549999999999999</v>
      </c>
      <c r="H90" s="1">
        <v>35.293999999999997</v>
      </c>
      <c r="I90" s="1">
        <v>0.32100000000000001</v>
      </c>
    </row>
    <row r="91" spans="1:9">
      <c r="A91" s="3" t="s">
        <v>1132</v>
      </c>
      <c r="B91" s="3" t="s">
        <v>16</v>
      </c>
      <c r="C91" s="3">
        <v>86</v>
      </c>
      <c r="D91" s="3">
        <v>8</v>
      </c>
      <c r="E91" s="3" t="s">
        <v>22</v>
      </c>
      <c r="F91" s="3">
        <v>-0.214</v>
      </c>
      <c r="G91" s="3">
        <v>4.4169999999999998</v>
      </c>
      <c r="H91" s="3">
        <v>90.697999999999993</v>
      </c>
      <c r="I91" s="3">
        <v>0.32100000000000001</v>
      </c>
    </row>
    <row r="92" spans="1:9">
      <c r="A92" s="3" t="s">
        <v>1133</v>
      </c>
      <c r="B92" s="3" t="s">
        <v>14</v>
      </c>
      <c r="C92" s="3">
        <v>53</v>
      </c>
      <c r="D92" s="3">
        <v>5</v>
      </c>
      <c r="E92" s="3" t="s">
        <v>22</v>
      </c>
      <c r="F92" s="3">
        <v>-1.7999999999999999E-2</v>
      </c>
      <c r="G92" s="3">
        <v>2.718</v>
      </c>
      <c r="H92" s="3">
        <v>90.566000000000003</v>
      </c>
      <c r="I92" s="3">
        <v>0.317</v>
      </c>
    </row>
    <row r="93" spans="1:9">
      <c r="A93" s="1" t="s">
        <v>1134</v>
      </c>
      <c r="B93" s="1" t="s">
        <v>16</v>
      </c>
      <c r="C93" s="1">
        <v>26</v>
      </c>
      <c r="D93" s="1">
        <v>9</v>
      </c>
      <c r="E93" s="1" t="s">
        <v>15</v>
      </c>
      <c r="F93" s="1">
        <v>-1.6E-2</v>
      </c>
      <c r="G93" s="1">
        <v>1.883</v>
      </c>
      <c r="H93" s="1">
        <v>34.615000000000002</v>
      </c>
      <c r="I93" s="1">
        <v>0.30599999999999999</v>
      </c>
    </row>
    <row r="94" spans="1:9">
      <c r="A94" s="3" t="s">
        <v>1135</v>
      </c>
      <c r="B94" s="3" t="s">
        <v>14</v>
      </c>
      <c r="C94" s="3">
        <v>121</v>
      </c>
      <c r="D94" s="3">
        <v>12</v>
      </c>
      <c r="E94" s="3" t="s">
        <v>22</v>
      </c>
      <c r="F94" s="3">
        <v>-2.1000000000000001E-2</v>
      </c>
      <c r="G94" s="3">
        <v>6.1719999999999997</v>
      </c>
      <c r="H94" s="3">
        <v>90.082999999999998</v>
      </c>
      <c r="I94" s="3">
        <v>0.30299999999999999</v>
      </c>
    </row>
    <row r="95" spans="1:9">
      <c r="A95" s="3" t="s">
        <v>1136</v>
      </c>
      <c r="B95" s="3" t="s">
        <v>16</v>
      </c>
      <c r="C95" s="3">
        <v>350</v>
      </c>
      <c r="D95" s="3">
        <v>35</v>
      </c>
      <c r="E95" s="3" t="s">
        <v>22</v>
      </c>
      <c r="F95" s="3">
        <v>-7.0000000000000001E-3</v>
      </c>
      <c r="G95" s="3">
        <v>17.837</v>
      </c>
      <c r="H95" s="3">
        <v>90</v>
      </c>
      <c r="I95" s="3">
        <v>0.3</v>
      </c>
    </row>
    <row r="96" spans="1:9">
      <c r="A96" s="1" t="s">
        <v>1137</v>
      </c>
      <c r="B96" s="1" t="s">
        <v>14</v>
      </c>
      <c r="C96" s="1">
        <v>38</v>
      </c>
      <c r="D96" s="1">
        <v>13</v>
      </c>
      <c r="E96" s="1" t="s">
        <v>15</v>
      </c>
      <c r="F96" s="1">
        <v>0.28599999999999998</v>
      </c>
      <c r="G96" s="1">
        <v>2.72</v>
      </c>
      <c r="H96" s="1">
        <v>34.210999999999999</v>
      </c>
      <c r="I96" s="1">
        <v>0.29699999999999999</v>
      </c>
    </row>
    <row r="97" spans="1:9">
      <c r="A97" s="1" t="s">
        <v>1138</v>
      </c>
      <c r="B97" s="1" t="s">
        <v>14</v>
      </c>
      <c r="C97" s="1">
        <v>38</v>
      </c>
      <c r="D97" s="1">
        <v>13</v>
      </c>
      <c r="E97" s="1" t="s">
        <v>15</v>
      </c>
      <c r="F97" s="1">
        <v>8.4000000000000005E-2</v>
      </c>
      <c r="G97" s="1">
        <v>2.72</v>
      </c>
      <c r="H97" s="1">
        <v>34.210999999999999</v>
      </c>
      <c r="I97" s="1">
        <v>0.29699999999999999</v>
      </c>
    </row>
    <row r="98" spans="1:9">
      <c r="A98" s="3" t="s">
        <v>1139</v>
      </c>
      <c r="B98" s="3" t="s">
        <v>16</v>
      </c>
      <c r="C98" s="3">
        <v>168</v>
      </c>
      <c r="D98" s="3">
        <v>17</v>
      </c>
      <c r="E98" s="3" t="s">
        <v>22</v>
      </c>
      <c r="F98" s="3">
        <v>-0.126</v>
      </c>
      <c r="G98" s="3">
        <v>8.5500000000000007</v>
      </c>
      <c r="H98" s="3">
        <v>89.881</v>
      </c>
      <c r="I98" s="3">
        <v>0.29699999999999999</v>
      </c>
    </row>
    <row r="99" spans="1:9">
      <c r="A99" s="3" t="s">
        <v>1140</v>
      </c>
      <c r="B99" s="3" t="s">
        <v>16</v>
      </c>
      <c r="C99" s="3">
        <v>29</v>
      </c>
      <c r="D99" s="3">
        <v>3</v>
      </c>
      <c r="E99" s="3" t="s">
        <v>22</v>
      </c>
      <c r="F99" s="3">
        <v>-3.5000000000000003E-2</v>
      </c>
      <c r="G99" s="3">
        <v>1.472</v>
      </c>
      <c r="H99" s="3">
        <v>89.655000000000001</v>
      </c>
      <c r="I99" s="3">
        <v>0.28999999999999998</v>
      </c>
    </row>
    <row r="100" spans="1:9">
      <c r="A100" s="1" t="s">
        <v>1141</v>
      </c>
      <c r="B100" s="1" t="s">
        <v>16</v>
      </c>
      <c r="C100" s="1">
        <v>74</v>
      </c>
      <c r="D100" s="1">
        <v>25</v>
      </c>
      <c r="E100" s="1" t="s">
        <v>15</v>
      </c>
      <c r="F100" s="1">
        <v>0.125</v>
      </c>
      <c r="G100" s="1">
        <v>5.23</v>
      </c>
      <c r="H100" s="1">
        <v>33.783999999999999</v>
      </c>
      <c r="I100" s="1">
        <v>0.28799999999999998</v>
      </c>
    </row>
    <row r="101" spans="1:9">
      <c r="A101" s="3" t="s">
        <v>1142</v>
      </c>
      <c r="B101" s="3" t="s">
        <v>14</v>
      </c>
      <c r="C101" s="3">
        <v>76</v>
      </c>
      <c r="D101" s="3">
        <v>8</v>
      </c>
      <c r="E101" s="3" t="s">
        <v>22</v>
      </c>
      <c r="F101" s="3">
        <v>-0.122</v>
      </c>
      <c r="G101" s="3">
        <v>3.851</v>
      </c>
      <c r="H101" s="3">
        <v>89.474000000000004</v>
      </c>
      <c r="I101" s="3">
        <v>0.28499999999999998</v>
      </c>
    </row>
    <row r="102" spans="1:9">
      <c r="A102" s="3" t="s">
        <v>1143</v>
      </c>
      <c r="B102" s="3" t="s">
        <v>14</v>
      </c>
      <c r="C102" s="3">
        <v>38</v>
      </c>
      <c r="D102" s="3">
        <v>4</v>
      </c>
      <c r="E102" s="3" t="s">
        <v>22</v>
      </c>
      <c r="F102" s="3">
        <v>-0.05</v>
      </c>
      <c r="G102" s="3">
        <v>1.925</v>
      </c>
      <c r="H102" s="3">
        <v>89.474000000000004</v>
      </c>
      <c r="I102" s="3">
        <v>0.28499999999999998</v>
      </c>
    </row>
    <row r="103" spans="1:9">
      <c r="A103" s="3" t="s">
        <v>1144</v>
      </c>
      <c r="B103" s="3" t="s">
        <v>16</v>
      </c>
      <c r="C103" s="3">
        <v>47</v>
      </c>
      <c r="D103" s="3">
        <v>5</v>
      </c>
      <c r="E103" s="3" t="s">
        <v>22</v>
      </c>
      <c r="F103" s="3">
        <v>-0.20300000000000001</v>
      </c>
      <c r="G103" s="3">
        <v>2.3780000000000001</v>
      </c>
      <c r="H103" s="3">
        <v>89.361999999999995</v>
      </c>
      <c r="I103" s="3">
        <v>0.28199999999999997</v>
      </c>
    </row>
    <row r="104" spans="1:9">
      <c r="A104" s="1" t="s">
        <v>1145</v>
      </c>
      <c r="B104" s="1" t="s">
        <v>14</v>
      </c>
      <c r="C104" s="1">
        <v>21</v>
      </c>
      <c r="D104" s="1">
        <v>7</v>
      </c>
      <c r="E104" s="1" t="s">
        <v>15</v>
      </c>
      <c r="F104" s="1">
        <v>0.41699999999999998</v>
      </c>
      <c r="G104" s="1">
        <v>1.464</v>
      </c>
      <c r="H104" s="1">
        <v>33.332999999999998</v>
      </c>
      <c r="I104" s="1">
        <v>0.27800000000000002</v>
      </c>
    </row>
    <row r="105" spans="1:9">
      <c r="A105" s="3" t="s">
        <v>963</v>
      </c>
      <c r="B105" s="3" t="s">
        <v>16</v>
      </c>
      <c r="C105" s="3">
        <v>251</v>
      </c>
      <c r="D105" s="3">
        <v>27</v>
      </c>
      <c r="E105" s="3" t="s">
        <v>22</v>
      </c>
      <c r="F105" s="3">
        <v>-2.4E-2</v>
      </c>
      <c r="G105" s="3">
        <v>12.683999999999999</v>
      </c>
      <c r="H105" s="3">
        <v>89.242999999999995</v>
      </c>
      <c r="I105" s="3">
        <v>0.27800000000000002</v>
      </c>
    </row>
    <row r="106" spans="1:9">
      <c r="A106" s="3" t="s">
        <v>1146</v>
      </c>
      <c r="B106" s="3" t="s">
        <v>16</v>
      </c>
      <c r="C106" s="3">
        <v>167</v>
      </c>
      <c r="D106" s="3">
        <v>18</v>
      </c>
      <c r="E106" s="3" t="s">
        <v>22</v>
      </c>
      <c r="F106" s="3">
        <v>0.08</v>
      </c>
      <c r="G106" s="3">
        <v>8.4369999999999994</v>
      </c>
      <c r="H106" s="3">
        <v>89.221999999999994</v>
      </c>
      <c r="I106" s="3">
        <v>0.27800000000000002</v>
      </c>
    </row>
    <row r="107" spans="1:9">
      <c r="A107" s="3" t="s">
        <v>964</v>
      </c>
      <c r="B107" s="3" t="s">
        <v>16</v>
      </c>
      <c r="C107" s="3">
        <v>490</v>
      </c>
      <c r="D107" s="3">
        <v>53</v>
      </c>
      <c r="E107" s="3" t="s">
        <v>22</v>
      </c>
      <c r="F107" s="3">
        <v>-4.1000000000000002E-2</v>
      </c>
      <c r="G107" s="3">
        <v>24.745000000000001</v>
      </c>
      <c r="H107" s="3">
        <v>89.183999999999997</v>
      </c>
      <c r="I107" s="3">
        <v>0.27700000000000002</v>
      </c>
    </row>
    <row r="108" spans="1:9">
      <c r="A108" s="3" t="s">
        <v>965</v>
      </c>
      <c r="B108" s="3" t="s">
        <v>16</v>
      </c>
      <c r="C108" s="3">
        <v>525</v>
      </c>
      <c r="D108" s="3">
        <v>57</v>
      </c>
      <c r="E108" s="3" t="s">
        <v>22</v>
      </c>
      <c r="F108" s="3">
        <v>-7.0000000000000001E-3</v>
      </c>
      <c r="G108" s="3">
        <v>26.501000000000001</v>
      </c>
      <c r="H108" s="3">
        <v>89.143000000000001</v>
      </c>
      <c r="I108" s="3">
        <v>0.27500000000000002</v>
      </c>
    </row>
    <row r="109" spans="1:9">
      <c r="A109" s="3" t="s">
        <v>1147</v>
      </c>
      <c r="B109" s="3" t="s">
        <v>16</v>
      </c>
      <c r="C109" s="3">
        <v>91</v>
      </c>
      <c r="D109" s="3">
        <v>10</v>
      </c>
      <c r="E109" s="3" t="s">
        <v>22</v>
      </c>
      <c r="F109" s="3">
        <v>-5.2999999999999999E-2</v>
      </c>
      <c r="G109" s="3">
        <v>4.5869999999999997</v>
      </c>
      <c r="H109" s="3">
        <v>89.010999999999996</v>
      </c>
      <c r="I109" s="3">
        <v>0.27200000000000002</v>
      </c>
    </row>
    <row r="110" spans="1:9">
      <c r="A110" s="3" t="s">
        <v>1148</v>
      </c>
      <c r="B110" s="3" t="s">
        <v>14</v>
      </c>
      <c r="C110" s="3">
        <v>100</v>
      </c>
      <c r="D110" s="3">
        <v>11</v>
      </c>
      <c r="E110" s="3" t="s">
        <v>22</v>
      </c>
      <c r="F110" s="3">
        <v>-6.4000000000000001E-2</v>
      </c>
      <c r="G110" s="3">
        <v>5.04</v>
      </c>
      <c r="H110" s="3">
        <v>89</v>
      </c>
      <c r="I110" s="3">
        <v>0.27100000000000002</v>
      </c>
    </row>
    <row r="111" spans="1:9">
      <c r="A111" s="1" t="s">
        <v>1149</v>
      </c>
      <c r="B111" s="1" t="s">
        <v>14</v>
      </c>
      <c r="C111" s="1">
        <v>55</v>
      </c>
      <c r="D111" s="1">
        <v>18</v>
      </c>
      <c r="E111" s="1" t="s">
        <v>15</v>
      </c>
      <c r="F111" s="1">
        <v>0.33300000000000002</v>
      </c>
      <c r="G111" s="1">
        <v>3.766</v>
      </c>
      <c r="H111" s="1">
        <v>32.726999999999997</v>
      </c>
      <c r="I111" s="1">
        <v>0.26500000000000001</v>
      </c>
    </row>
    <row r="112" spans="1:9">
      <c r="A112" s="1" t="s">
        <v>1150</v>
      </c>
      <c r="B112" s="1" t="s">
        <v>14</v>
      </c>
      <c r="C112" s="1">
        <v>37</v>
      </c>
      <c r="D112" s="1">
        <v>12</v>
      </c>
      <c r="E112" s="1" t="s">
        <v>15</v>
      </c>
      <c r="F112" s="1">
        <v>0.33100000000000002</v>
      </c>
      <c r="G112" s="1">
        <v>2.5099999999999998</v>
      </c>
      <c r="H112" s="1">
        <v>32.432000000000002</v>
      </c>
      <c r="I112" s="1">
        <v>0.25800000000000001</v>
      </c>
    </row>
    <row r="113" spans="1:9">
      <c r="A113" s="1" t="s">
        <v>1151</v>
      </c>
      <c r="B113" s="1" t="s">
        <v>14</v>
      </c>
      <c r="C113" s="1">
        <v>44</v>
      </c>
      <c r="D113" s="1">
        <v>14</v>
      </c>
      <c r="E113" s="1" t="s">
        <v>15</v>
      </c>
      <c r="F113" s="1">
        <v>0.59699999999999998</v>
      </c>
      <c r="G113" s="1">
        <v>2.9289999999999998</v>
      </c>
      <c r="H113" s="1">
        <v>31.818000000000001</v>
      </c>
      <c r="I113" s="1">
        <v>0.24399999999999999</v>
      </c>
    </row>
    <row r="114" spans="1:9">
      <c r="A114" s="3" t="s">
        <v>1152</v>
      </c>
      <c r="B114" s="3" t="s">
        <v>16</v>
      </c>
      <c r="C114" s="3">
        <v>401</v>
      </c>
      <c r="D114" s="3">
        <v>48</v>
      </c>
      <c r="E114" s="3" t="s">
        <v>22</v>
      </c>
      <c r="F114" s="3">
        <v>7.6999999999999999E-2</v>
      </c>
      <c r="G114" s="3">
        <v>19.989000000000001</v>
      </c>
      <c r="H114" s="3">
        <v>88.03</v>
      </c>
      <c r="I114" s="3">
        <v>0.24399999999999999</v>
      </c>
    </row>
    <row r="115" spans="1:9">
      <c r="A115" s="3" t="s">
        <v>1153</v>
      </c>
      <c r="B115" s="3" t="s">
        <v>16</v>
      </c>
      <c r="C115" s="3">
        <v>65</v>
      </c>
      <c r="D115" s="3">
        <v>8</v>
      </c>
      <c r="E115" s="3" t="s">
        <v>22</v>
      </c>
      <c r="F115" s="3">
        <v>-0.36399999999999999</v>
      </c>
      <c r="G115" s="3">
        <v>3.2280000000000002</v>
      </c>
      <c r="H115" s="3">
        <v>87.691999999999993</v>
      </c>
      <c r="I115" s="3">
        <v>0.23400000000000001</v>
      </c>
    </row>
    <row r="116" spans="1:9">
      <c r="A116" s="1" t="s">
        <v>1154</v>
      </c>
      <c r="B116" s="1" t="s">
        <v>14</v>
      </c>
      <c r="C116" s="1">
        <v>16</v>
      </c>
      <c r="D116" s="1">
        <v>5</v>
      </c>
      <c r="E116" s="1" t="s">
        <v>15</v>
      </c>
      <c r="F116" s="1">
        <v>0.126</v>
      </c>
      <c r="G116" s="1">
        <v>1.046</v>
      </c>
      <c r="H116" s="1">
        <v>31.25</v>
      </c>
      <c r="I116" s="1">
        <v>0.23200000000000001</v>
      </c>
    </row>
    <row r="117" spans="1:9">
      <c r="A117" s="3" t="s">
        <v>971</v>
      </c>
      <c r="B117" s="3" t="s">
        <v>16</v>
      </c>
      <c r="C117" s="3">
        <v>436</v>
      </c>
      <c r="D117" s="3">
        <v>54</v>
      </c>
      <c r="E117" s="3" t="s">
        <v>22</v>
      </c>
      <c r="F117" s="3">
        <v>0.17599999999999999</v>
      </c>
      <c r="G117" s="3">
        <v>21.631</v>
      </c>
      <c r="H117" s="3">
        <v>87.614999999999995</v>
      </c>
      <c r="I117" s="3">
        <v>0.23200000000000001</v>
      </c>
    </row>
    <row r="118" spans="1:9">
      <c r="A118" s="1" t="s">
        <v>20</v>
      </c>
      <c r="B118" s="1" t="s">
        <v>16</v>
      </c>
      <c r="C118" s="1">
        <v>68</v>
      </c>
      <c r="D118" s="1">
        <v>21</v>
      </c>
      <c r="E118" s="1" t="s">
        <v>15</v>
      </c>
      <c r="F118" s="1">
        <v>0.23499999999999999</v>
      </c>
      <c r="G118" s="1">
        <v>4.3929999999999998</v>
      </c>
      <c r="H118" s="1">
        <v>30.882000000000001</v>
      </c>
      <c r="I118" s="1">
        <v>0.224</v>
      </c>
    </row>
    <row r="119" spans="1:9">
      <c r="A119" s="1" t="s">
        <v>1155</v>
      </c>
      <c r="B119" s="1" t="s">
        <v>14</v>
      </c>
      <c r="C119" s="1">
        <v>52</v>
      </c>
      <c r="D119" s="1">
        <v>16</v>
      </c>
      <c r="E119" s="1" t="s">
        <v>15</v>
      </c>
      <c r="F119" s="1">
        <v>0.29099999999999998</v>
      </c>
      <c r="G119" s="1">
        <v>3.347</v>
      </c>
      <c r="H119" s="1">
        <v>30.768999999999998</v>
      </c>
      <c r="I119" s="1">
        <v>0.221</v>
      </c>
    </row>
    <row r="120" spans="1:9">
      <c r="A120" s="1" t="s">
        <v>1156</v>
      </c>
      <c r="B120" s="1" t="s">
        <v>14</v>
      </c>
      <c r="C120" s="1">
        <v>39</v>
      </c>
      <c r="D120" s="1">
        <v>12</v>
      </c>
      <c r="E120" s="1" t="s">
        <v>15</v>
      </c>
      <c r="F120" s="1">
        <v>0.106</v>
      </c>
      <c r="G120" s="1">
        <v>2.5099999999999998</v>
      </c>
      <c r="H120" s="1">
        <v>30.768999999999998</v>
      </c>
      <c r="I120" s="1">
        <v>0.221</v>
      </c>
    </row>
    <row r="121" spans="1:9">
      <c r="A121" s="3" t="s">
        <v>1157</v>
      </c>
      <c r="B121" s="3" t="s">
        <v>16</v>
      </c>
      <c r="C121" s="3">
        <v>141</v>
      </c>
      <c r="D121" s="3">
        <v>18</v>
      </c>
      <c r="E121" s="3" t="s">
        <v>22</v>
      </c>
      <c r="F121" s="3">
        <v>-0.113</v>
      </c>
      <c r="G121" s="3">
        <v>6.9649999999999999</v>
      </c>
      <c r="H121" s="3">
        <v>87.233999999999995</v>
      </c>
      <c r="I121" s="3">
        <v>0.221</v>
      </c>
    </row>
    <row r="122" spans="1:9">
      <c r="A122" s="3" t="s">
        <v>1158</v>
      </c>
      <c r="B122" s="3" t="s">
        <v>14</v>
      </c>
      <c r="C122" s="3">
        <v>211</v>
      </c>
      <c r="D122" s="3">
        <v>27</v>
      </c>
      <c r="E122" s="3" t="s">
        <v>22</v>
      </c>
      <c r="F122" s="3">
        <v>-1E-3</v>
      </c>
      <c r="G122" s="3">
        <v>10.419</v>
      </c>
      <c r="H122" s="3">
        <v>87.203999999999994</v>
      </c>
      <c r="I122" s="3">
        <v>0.22</v>
      </c>
    </row>
    <row r="123" spans="1:9">
      <c r="A123" s="3" t="s">
        <v>1159</v>
      </c>
      <c r="B123" s="3" t="s">
        <v>14</v>
      </c>
      <c r="C123" s="3">
        <v>54</v>
      </c>
      <c r="D123" s="3">
        <v>7</v>
      </c>
      <c r="E123" s="3" t="s">
        <v>22</v>
      </c>
      <c r="F123" s="3">
        <v>-0.46899999999999997</v>
      </c>
      <c r="G123" s="3">
        <v>2.661</v>
      </c>
      <c r="H123" s="3">
        <v>87.037000000000006</v>
      </c>
      <c r="I123" s="3">
        <v>0.216</v>
      </c>
    </row>
    <row r="124" spans="1:9">
      <c r="A124" s="1" t="s">
        <v>1160</v>
      </c>
      <c r="B124" s="1" t="s">
        <v>16</v>
      </c>
      <c r="C124" s="1">
        <v>82</v>
      </c>
      <c r="D124" s="1">
        <v>25</v>
      </c>
      <c r="E124" s="1" t="s">
        <v>15</v>
      </c>
      <c r="F124" s="1">
        <v>1.4999999999999999E-2</v>
      </c>
      <c r="G124" s="1">
        <v>5.23</v>
      </c>
      <c r="H124" s="1">
        <v>30.488</v>
      </c>
      <c r="I124" s="1">
        <v>0.215</v>
      </c>
    </row>
    <row r="125" spans="1:9">
      <c r="A125" s="3" t="s">
        <v>1161</v>
      </c>
      <c r="B125" s="3" t="s">
        <v>16</v>
      </c>
      <c r="C125" s="3">
        <v>252</v>
      </c>
      <c r="D125" s="3">
        <v>33</v>
      </c>
      <c r="E125" s="3" t="s">
        <v>22</v>
      </c>
      <c r="F125" s="3">
        <v>8.7999999999999995E-2</v>
      </c>
      <c r="G125" s="3">
        <v>12.401</v>
      </c>
      <c r="H125" s="3">
        <v>86.905000000000001</v>
      </c>
      <c r="I125" s="3">
        <v>0.21199999999999999</v>
      </c>
    </row>
    <row r="126" spans="1:9">
      <c r="A126" s="1" t="s">
        <v>1162</v>
      </c>
      <c r="B126" s="1" t="s">
        <v>14</v>
      </c>
      <c r="C126" s="1">
        <v>33</v>
      </c>
      <c r="D126" s="1">
        <v>10</v>
      </c>
      <c r="E126" s="1" t="s">
        <v>15</v>
      </c>
      <c r="F126" s="1">
        <v>1.6E-2</v>
      </c>
      <c r="G126" s="1">
        <v>2.0920000000000001</v>
      </c>
      <c r="H126" s="1">
        <v>30.303000000000001</v>
      </c>
      <c r="I126" s="1">
        <v>0.21</v>
      </c>
    </row>
    <row r="127" spans="1:9">
      <c r="A127" s="1" t="s">
        <v>1163</v>
      </c>
      <c r="B127" s="1" t="s">
        <v>14</v>
      </c>
      <c r="C127" s="1">
        <v>33</v>
      </c>
      <c r="D127" s="1">
        <v>10</v>
      </c>
      <c r="E127" s="1" t="s">
        <v>15</v>
      </c>
      <c r="F127" s="1">
        <v>1E-3</v>
      </c>
      <c r="G127" s="1">
        <v>2.0920000000000001</v>
      </c>
      <c r="H127" s="1">
        <v>30.303000000000001</v>
      </c>
      <c r="I127" s="1">
        <v>0.21</v>
      </c>
    </row>
    <row r="128" spans="1:9">
      <c r="A128" s="3" t="s">
        <v>977</v>
      </c>
      <c r="B128" s="3" t="s">
        <v>14</v>
      </c>
      <c r="C128" s="3">
        <v>83</v>
      </c>
      <c r="D128" s="3">
        <v>11</v>
      </c>
      <c r="E128" s="3" t="s">
        <v>22</v>
      </c>
      <c r="F128" s="3">
        <v>-3.5999999999999997E-2</v>
      </c>
      <c r="G128" s="3">
        <v>4.077</v>
      </c>
      <c r="H128" s="3">
        <v>86.747</v>
      </c>
      <c r="I128" s="3">
        <v>0.20799999999999999</v>
      </c>
    </row>
    <row r="129" spans="1:9">
      <c r="A129" s="3" t="s">
        <v>1164</v>
      </c>
      <c r="B129" s="3" t="s">
        <v>14</v>
      </c>
      <c r="C129" s="3">
        <v>83</v>
      </c>
      <c r="D129" s="3">
        <v>11</v>
      </c>
      <c r="E129" s="3" t="s">
        <v>22</v>
      </c>
      <c r="F129" s="3">
        <v>-2.8000000000000001E-2</v>
      </c>
      <c r="G129" s="3">
        <v>4.077</v>
      </c>
      <c r="H129" s="3">
        <v>86.747</v>
      </c>
      <c r="I129" s="3">
        <v>0.20799999999999999</v>
      </c>
    </row>
    <row r="130" spans="1:9">
      <c r="A130" s="3" t="s">
        <v>1165</v>
      </c>
      <c r="B130" s="3" t="s">
        <v>14</v>
      </c>
      <c r="C130" s="3">
        <v>83</v>
      </c>
      <c r="D130" s="3">
        <v>11</v>
      </c>
      <c r="E130" s="3" t="s">
        <v>22</v>
      </c>
      <c r="F130" s="3">
        <v>-4.3999999999999997E-2</v>
      </c>
      <c r="G130" s="3">
        <v>4.077</v>
      </c>
      <c r="H130" s="3">
        <v>86.747</v>
      </c>
      <c r="I130" s="3">
        <v>0.20799999999999999</v>
      </c>
    </row>
    <row r="131" spans="1:9">
      <c r="A131" s="1" t="s">
        <v>1166</v>
      </c>
      <c r="B131" s="1" t="s">
        <v>16</v>
      </c>
      <c r="C131" s="1">
        <v>30</v>
      </c>
      <c r="D131" s="1">
        <v>9</v>
      </c>
      <c r="E131" s="1" t="s">
        <v>15</v>
      </c>
      <c r="F131" s="1">
        <v>-0.14399999999999999</v>
      </c>
      <c r="G131" s="1">
        <v>1.883</v>
      </c>
      <c r="H131" s="1">
        <v>30</v>
      </c>
      <c r="I131" s="1">
        <v>0.20399999999999999</v>
      </c>
    </row>
    <row r="132" spans="1:9">
      <c r="A132" s="3" t="s">
        <v>23</v>
      </c>
      <c r="B132" s="3" t="s">
        <v>14</v>
      </c>
      <c r="C132" s="3">
        <v>224</v>
      </c>
      <c r="D132" s="3">
        <v>30</v>
      </c>
      <c r="E132" s="3" t="s">
        <v>22</v>
      </c>
      <c r="F132" s="3">
        <v>-8.1000000000000003E-2</v>
      </c>
      <c r="G132" s="3">
        <v>10.984999999999999</v>
      </c>
      <c r="H132" s="3">
        <v>86.606999999999999</v>
      </c>
      <c r="I132" s="3">
        <v>0.20399999999999999</v>
      </c>
    </row>
    <row r="133" spans="1:9">
      <c r="A133" s="3" t="s">
        <v>1167</v>
      </c>
      <c r="B133" s="3" t="s">
        <v>14</v>
      </c>
      <c r="C133" s="3">
        <v>74</v>
      </c>
      <c r="D133" s="3">
        <v>10</v>
      </c>
      <c r="E133" s="3" t="s">
        <v>22</v>
      </c>
      <c r="F133" s="3">
        <v>-0.318</v>
      </c>
      <c r="G133" s="3">
        <v>3.6240000000000001</v>
      </c>
      <c r="H133" s="3">
        <v>86.486000000000004</v>
      </c>
      <c r="I133" s="3">
        <v>0.20100000000000001</v>
      </c>
    </row>
    <row r="134" spans="1:9">
      <c r="A134" s="1" t="s">
        <v>1168</v>
      </c>
      <c r="B134" s="1" t="s">
        <v>14</v>
      </c>
      <c r="C134" s="1">
        <v>135</v>
      </c>
      <c r="D134" s="1">
        <v>40</v>
      </c>
      <c r="E134" s="1" t="s">
        <v>15</v>
      </c>
      <c r="F134" s="1">
        <v>4.2999999999999997E-2</v>
      </c>
      <c r="G134" s="1">
        <v>8.3680000000000003</v>
      </c>
      <c r="H134" s="1">
        <v>29.63</v>
      </c>
      <c r="I134" s="1">
        <v>0.19500000000000001</v>
      </c>
    </row>
    <row r="135" spans="1:9">
      <c r="A135" s="1" t="s">
        <v>1169</v>
      </c>
      <c r="B135" s="1" t="s">
        <v>16</v>
      </c>
      <c r="C135" s="1">
        <v>54</v>
      </c>
      <c r="D135" s="1">
        <v>16</v>
      </c>
      <c r="E135" s="1" t="s">
        <v>15</v>
      </c>
      <c r="F135" s="1">
        <v>1.2999999999999999E-2</v>
      </c>
      <c r="G135" s="1">
        <v>3.347</v>
      </c>
      <c r="H135" s="1">
        <v>29.63</v>
      </c>
      <c r="I135" s="1">
        <v>0.19500000000000001</v>
      </c>
    </row>
    <row r="136" spans="1:9">
      <c r="A136" s="3" t="s">
        <v>1170</v>
      </c>
      <c r="B136" s="3" t="s">
        <v>16</v>
      </c>
      <c r="C136" s="3">
        <v>29</v>
      </c>
      <c r="D136" s="3">
        <v>4</v>
      </c>
      <c r="E136" s="3" t="s">
        <v>22</v>
      </c>
      <c r="F136" s="3">
        <v>-0.25900000000000001</v>
      </c>
      <c r="G136" s="3">
        <v>1.4159999999999999</v>
      </c>
      <c r="H136" s="3">
        <v>86.206999999999994</v>
      </c>
      <c r="I136" s="3">
        <v>0.193</v>
      </c>
    </row>
    <row r="137" spans="1:9">
      <c r="A137" s="1" t="s">
        <v>981</v>
      </c>
      <c r="B137" s="1" t="s">
        <v>14</v>
      </c>
      <c r="C137" s="1">
        <v>31</v>
      </c>
      <c r="D137" s="1">
        <v>9</v>
      </c>
      <c r="E137" s="1" t="s">
        <v>15</v>
      </c>
      <c r="F137" s="1">
        <v>0.20300000000000001</v>
      </c>
      <c r="G137" s="1">
        <v>1.883</v>
      </c>
      <c r="H137" s="1">
        <v>29.032</v>
      </c>
      <c r="I137" s="1">
        <v>0.182</v>
      </c>
    </row>
    <row r="138" spans="1:9">
      <c r="A138" s="1" t="s">
        <v>1171</v>
      </c>
      <c r="B138" s="1" t="s">
        <v>16</v>
      </c>
      <c r="C138" s="1">
        <v>162</v>
      </c>
      <c r="D138" s="1">
        <v>47</v>
      </c>
      <c r="E138" s="1" t="s">
        <v>15</v>
      </c>
      <c r="F138" s="1">
        <v>6.9000000000000006E-2</v>
      </c>
      <c r="G138" s="1">
        <v>9.8330000000000002</v>
      </c>
      <c r="H138" s="1">
        <v>29.012</v>
      </c>
      <c r="I138" s="1">
        <v>0.18099999999999999</v>
      </c>
    </row>
    <row r="139" spans="1:9">
      <c r="A139" s="3" t="s">
        <v>1172</v>
      </c>
      <c r="B139" s="3" t="s">
        <v>14</v>
      </c>
      <c r="C139" s="3">
        <v>232</v>
      </c>
      <c r="D139" s="3">
        <v>33</v>
      </c>
      <c r="E139" s="3" t="s">
        <v>22</v>
      </c>
      <c r="F139" s="3">
        <v>-3.5999999999999997E-2</v>
      </c>
      <c r="G139" s="3">
        <v>11.268000000000001</v>
      </c>
      <c r="H139" s="3">
        <v>85.775999999999996</v>
      </c>
      <c r="I139" s="3">
        <v>0.18099999999999999</v>
      </c>
    </row>
    <row r="140" spans="1:9">
      <c r="A140" s="3" t="s">
        <v>1173</v>
      </c>
      <c r="B140" s="3" t="s">
        <v>14</v>
      </c>
      <c r="C140" s="3">
        <v>35</v>
      </c>
      <c r="D140" s="3">
        <v>5</v>
      </c>
      <c r="E140" s="3" t="s">
        <v>22</v>
      </c>
      <c r="F140" s="3">
        <v>-8.5000000000000006E-2</v>
      </c>
      <c r="G140" s="3">
        <v>1.6990000000000001</v>
      </c>
      <c r="H140" s="3">
        <v>85.713999999999999</v>
      </c>
      <c r="I140" s="3">
        <v>0.18</v>
      </c>
    </row>
    <row r="141" spans="1:9">
      <c r="A141" s="3" t="s">
        <v>1174</v>
      </c>
      <c r="B141" s="3" t="s">
        <v>14</v>
      </c>
      <c r="C141" s="3">
        <v>91</v>
      </c>
      <c r="D141" s="3">
        <v>13</v>
      </c>
      <c r="E141" s="3" t="s">
        <v>22</v>
      </c>
      <c r="F141" s="3">
        <v>-0.55700000000000005</v>
      </c>
      <c r="G141" s="3">
        <v>4.4169999999999998</v>
      </c>
      <c r="H141" s="3">
        <v>85.713999999999999</v>
      </c>
      <c r="I141" s="3">
        <v>0.18</v>
      </c>
    </row>
    <row r="142" spans="1:9">
      <c r="A142" s="1" t="s">
        <v>1175</v>
      </c>
      <c r="B142" s="1" t="s">
        <v>14</v>
      </c>
      <c r="C142" s="1">
        <v>108</v>
      </c>
      <c r="D142" s="1">
        <v>31</v>
      </c>
      <c r="E142" s="1" t="s">
        <v>15</v>
      </c>
      <c r="F142" s="1">
        <v>3.7999999999999999E-2</v>
      </c>
      <c r="G142" s="1">
        <v>6.4850000000000003</v>
      </c>
      <c r="H142" s="1">
        <v>28.704000000000001</v>
      </c>
      <c r="I142" s="1">
        <v>0.17399999999999999</v>
      </c>
    </row>
    <row r="143" spans="1:9">
      <c r="A143" s="1" t="s">
        <v>1176</v>
      </c>
      <c r="B143" s="1" t="s">
        <v>14</v>
      </c>
      <c r="C143" s="1">
        <v>196</v>
      </c>
      <c r="D143" s="1">
        <v>56</v>
      </c>
      <c r="E143" s="1" t="s">
        <v>15</v>
      </c>
      <c r="F143" s="1">
        <v>0.11</v>
      </c>
      <c r="G143" s="1">
        <v>11.715</v>
      </c>
      <c r="H143" s="1">
        <v>28.571000000000002</v>
      </c>
      <c r="I143" s="1">
        <v>0.17100000000000001</v>
      </c>
    </row>
    <row r="144" spans="1:9">
      <c r="A144" s="1" t="s">
        <v>1177</v>
      </c>
      <c r="B144" s="1" t="s">
        <v>14</v>
      </c>
      <c r="C144" s="1">
        <v>70</v>
      </c>
      <c r="D144" s="1">
        <v>20</v>
      </c>
      <c r="E144" s="1" t="s">
        <v>15</v>
      </c>
      <c r="F144" s="1">
        <v>3.3000000000000002E-2</v>
      </c>
      <c r="G144" s="1">
        <v>4.1840000000000002</v>
      </c>
      <c r="H144" s="1">
        <v>28.571000000000002</v>
      </c>
      <c r="I144" s="1">
        <v>0.17100000000000001</v>
      </c>
    </row>
    <row r="145" spans="1:9">
      <c r="A145" s="1" t="s">
        <v>1178</v>
      </c>
      <c r="B145" s="1" t="s">
        <v>14</v>
      </c>
      <c r="C145" s="1">
        <v>21</v>
      </c>
      <c r="D145" s="1">
        <v>6</v>
      </c>
      <c r="E145" s="1" t="s">
        <v>15</v>
      </c>
      <c r="F145" s="1">
        <v>0.23100000000000001</v>
      </c>
      <c r="G145" s="1">
        <v>1.2549999999999999</v>
      </c>
      <c r="H145" s="1">
        <v>28.571000000000002</v>
      </c>
      <c r="I145" s="1">
        <v>0.17100000000000001</v>
      </c>
    </row>
    <row r="146" spans="1:9">
      <c r="A146" s="1" t="s">
        <v>1179</v>
      </c>
      <c r="B146" s="1" t="s">
        <v>16</v>
      </c>
      <c r="C146" s="1">
        <v>14</v>
      </c>
      <c r="D146" s="1">
        <v>4</v>
      </c>
      <c r="E146" s="1" t="s">
        <v>15</v>
      </c>
      <c r="F146" s="1">
        <v>7.0000000000000007E-2</v>
      </c>
      <c r="G146" s="1">
        <v>0.83699999999999997</v>
      </c>
      <c r="H146" s="1">
        <v>28.571000000000002</v>
      </c>
      <c r="I146" s="1">
        <v>0.17100000000000001</v>
      </c>
    </row>
    <row r="147" spans="1:9">
      <c r="A147" s="1" t="s">
        <v>1180</v>
      </c>
      <c r="B147" s="1" t="s">
        <v>14</v>
      </c>
      <c r="C147" s="1">
        <v>106</v>
      </c>
      <c r="D147" s="1">
        <v>30</v>
      </c>
      <c r="E147" s="1" t="s">
        <v>15</v>
      </c>
      <c r="F147" s="1">
        <v>0.115</v>
      </c>
      <c r="G147" s="1">
        <v>6.2759999999999998</v>
      </c>
      <c r="H147" s="1">
        <v>28.302</v>
      </c>
      <c r="I147" s="1">
        <v>0.16500000000000001</v>
      </c>
    </row>
    <row r="148" spans="1:9">
      <c r="A148" s="1" t="s">
        <v>1181</v>
      </c>
      <c r="B148" s="1" t="s">
        <v>14</v>
      </c>
      <c r="C148" s="1">
        <v>53</v>
      </c>
      <c r="D148" s="1">
        <v>15</v>
      </c>
      <c r="E148" s="1" t="s">
        <v>15</v>
      </c>
      <c r="F148" s="1">
        <v>3.9E-2</v>
      </c>
      <c r="G148" s="1">
        <v>3.1379999999999999</v>
      </c>
      <c r="H148" s="1">
        <v>28.302</v>
      </c>
      <c r="I148" s="1">
        <v>0.16500000000000001</v>
      </c>
    </row>
    <row r="149" spans="1:9">
      <c r="A149" s="1" t="s">
        <v>1182</v>
      </c>
      <c r="B149" s="1" t="s">
        <v>14</v>
      </c>
      <c r="C149" s="1">
        <v>266</v>
      </c>
      <c r="D149" s="1">
        <v>75</v>
      </c>
      <c r="E149" s="1" t="s">
        <v>15</v>
      </c>
      <c r="F149" s="1">
        <v>5.5E-2</v>
      </c>
      <c r="G149" s="1">
        <v>15.69</v>
      </c>
      <c r="H149" s="1">
        <v>28.195</v>
      </c>
      <c r="I149" s="1">
        <v>0.16300000000000001</v>
      </c>
    </row>
    <row r="150" spans="1:9">
      <c r="A150" s="1" t="s">
        <v>1183</v>
      </c>
      <c r="B150" s="1" t="s">
        <v>14</v>
      </c>
      <c r="C150" s="1">
        <v>178</v>
      </c>
      <c r="D150" s="1">
        <v>50</v>
      </c>
      <c r="E150" s="1" t="s">
        <v>15</v>
      </c>
      <c r="F150" s="1">
        <v>4.5999999999999999E-2</v>
      </c>
      <c r="G150" s="1">
        <v>10.46</v>
      </c>
      <c r="H150" s="1">
        <v>28.09</v>
      </c>
      <c r="I150" s="1">
        <v>0.16</v>
      </c>
    </row>
    <row r="151" spans="1:9">
      <c r="A151" s="3" t="s">
        <v>1184</v>
      </c>
      <c r="B151" s="3" t="s">
        <v>14</v>
      </c>
      <c r="C151" s="3">
        <v>239</v>
      </c>
      <c r="D151" s="3">
        <v>36</v>
      </c>
      <c r="E151" s="3" t="s">
        <v>22</v>
      </c>
      <c r="F151" s="3">
        <v>-0.11799999999999999</v>
      </c>
      <c r="G151" s="3">
        <v>11.494999999999999</v>
      </c>
      <c r="H151" s="3">
        <v>84.936999999999998</v>
      </c>
      <c r="I151" s="3">
        <v>0.159</v>
      </c>
    </row>
    <row r="152" spans="1:9">
      <c r="A152" s="1" t="s">
        <v>1185</v>
      </c>
      <c r="B152" s="1" t="s">
        <v>16</v>
      </c>
      <c r="C152" s="1">
        <v>122</v>
      </c>
      <c r="D152" s="1">
        <v>34</v>
      </c>
      <c r="E152" s="1" t="s">
        <v>15</v>
      </c>
      <c r="F152" s="1">
        <v>8.9999999999999993E-3</v>
      </c>
      <c r="G152" s="1">
        <v>7.1130000000000004</v>
      </c>
      <c r="H152" s="1">
        <v>27.869</v>
      </c>
      <c r="I152" s="1">
        <v>0.155</v>
      </c>
    </row>
    <row r="153" spans="1:9">
      <c r="A153" s="3" t="s">
        <v>1186</v>
      </c>
      <c r="B153" s="3" t="s">
        <v>16</v>
      </c>
      <c r="C153" s="3">
        <v>46</v>
      </c>
      <c r="D153" s="3">
        <v>7</v>
      </c>
      <c r="E153" s="3" t="s">
        <v>22</v>
      </c>
      <c r="F153" s="3">
        <v>-0.10199999999999999</v>
      </c>
      <c r="G153" s="3">
        <v>2.2080000000000002</v>
      </c>
      <c r="H153" s="3">
        <v>84.783000000000001</v>
      </c>
      <c r="I153" s="3">
        <v>0.155</v>
      </c>
    </row>
    <row r="154" spans="1:9">
      <c r="A154" s="1" t="s">
        <v>1187</v>
      </c>
      <c r="B154" s="1" t="s">
        <v>14</v>
      </c>
      <c r="C154" s="1">
        <v>259</v>
      </c>
      <c r="D154" s="1">
        <v>72</v>
      </c>
      <c r="E154" s="1" t="s">
        <v>15</v>
      </c>
      <c r="F154" s="1">
        <v>0.188</v>
      </c>
      <c r="G154" s="1">
        <v>15.063000000000001</v>
      </c>
      <c r="H154" s="1">
        <v>27.798999999999999</v>
      </c>
      <c r="I154" s="1">
        <v>0.154</v>
      </c>
    </row>
    <row r="155" spans="1:9">
      <c r="A155" s="1" t="s">
        <v>1188</v>
      </c>
      <c r="B155" s="1" t="s">
        <v>14</v>
      </c>
      <c r="C155" s="1">
        <v>299</v>
      </c>
      <c r="D155" s="1">
        <v>83</v>
      </c>
      <c r="E155" s="1" t="s">
        <v>15</v>
      </c>
      <c r="F155" s="1">
        <v>4.0000000000000001E-3</v>
      </c>
      <c r="G155" s="1">
        <v>17.364000000000001</v>
      </c>
      <c r="H155" s="1">
        <v>27.759</v>
      </c>
      <c r="I155" s="1">
        <v>0.153</v>
      </c>
    </row>
    <row r="156" spans="1:9">
      <c r="A156" s="1" t="s">
        <v>1189</v>
      </c>
      <c r="B156" s="1" t="s">
        <v>16</v>
      </c>
      <c r="C156" s="1">
        <v>130</v>
      </c>
      <c r="D156" s="1">
        <v>36</v>
      </c>
      <c r="E156" s="1" t="s">
        <v>15</v>
      </c>
      <c r="F156" s="1">
        <v>1.7000000000000001E-2</v>
      </c>
      <c r="G156" s="1">
        <v>7.5309999999999997</v>
      </c>
      <c r="H156" s="1">
        <v>27.692</v>
      </c>
      <c r="I156" s="1">
        <v>0.151</v>
      </c>
    </row>
    <row r="157" spans="1:9">
      <c r="A157" s="3" t="s">
        <v>1190</v>
      </c>
      <c r="B157" s="3" t="s">
        <v>14</v>
      </c>
      <c r="C157" s="3">
        <v>39</v>
      </c>
      <c r="D157" s="3">
        <v>6</v>
      </c>
      <c r="E157" s="3" t="s">
        <v>22</v>
      </c>
      <c r="F157" s="3">
        <v>4.1000000000000002E-2</v>
      </c>
      <c r="G157" s="3">
        <v>1.869</v>
      </c>
      <c r="H157" s="3">
        <v>84.614999999999995</v>
      </c>
      <c r="I157" s="3">
        <v>0.15</v>
      </c>
    </row>
    <row r="158" spans="1:9">
      <c r="A158" s="1" t="s">
        <v>1191</v>
      </c>
      <c r="B158" s="1" t="s">
        <v>16</v>
      </c>
      <c r="C158" s="1">
        <v>105</v>
      </c>
      <c r="D158" s="1">
        <v>29</v>
      </c>
      <c r="E158" s="1" t="s">
        <v>15</v>
      </c>
      <c r="F158" s="1">
        <v>5.0000000000000001E-3</v>
      </c>
      <c r="G158" s="1">
        <v>6.0670000000000002</v>
      </c>
      <c r="H158" s="1">
        <v>27.619</v>
      </c>
      <c r="I158" s="1">
        <v>0.14899999999999999</v>
      </c>
    </row>
    <row r="159" spans="1:9">
      <c r="A159" s="3" t="s">
        <v>1192</v>
      </c>
      <c r="B159" s="3" t="s">
        <v>14</v>
      </c>
      <c r="C159" s="3">
        <v>160</v>
      </c>
      <c r="D159" s="3">
        <v>25</v>
      </c>
      <c r="E159" s="3" t="s">
        <v>22</v>
      </c>
      <c r="F159" s="3">
        <v>4.1000000000000002E-2</v>
      </c>
      <c r="G159" s="3">
        <v>7.6440000000000001</v>
      </c>
      <c r="H159" s="3">
        <v>84.375</v>
      </c>
      <c r="I159" s="3">
        <v>0.14399999999999999</v>
      </c>
    </row>
    <row r="160" spans="1:9">
      <c r="A160" s="1" t="s">
        <v>1193</v>
      </c>
      <c r="B160" s="1" t="s">
        <v>14</v>
      </c>
      <c r="C160" s="1">
        <v>162</v>
      </c>
      <c r="D160" s="1">
        <v>44</v>
      </c>
      <c r="E160" s="1" t="s">
        <v>15</v>
      </c>
      <c r="F160" s="1">
        <v>0.153</v>
      </c>
      <c r="G160" s="1">
        <v>9.2050000000000001</v>
      </c>
      <c r="H160" s="1">
        <v>27.16</v>
      </c>
      <c r="I160" s="1">
        <v>0.13900000000000001</v>
      </c>
    </row>
    <row r="161" spans="1:9">
      <c r="A161" s="3" t="s">
        <v>1194</v>
      </c>
      <c r="B161" s="3" t="s">
        <v>14</v>
      </c>
      <c r="C161" s="3">
        <v>38</v>
      </c>
      <c r="D161" s="3">
        <v>6</v>
      </c>
      <c r="E161" s="3" t="s">
        <v>22</v>
      </c>
      <c r="F161" s="3">
        <v>-0.29799999999999999</v>
      </c>
      <c r="G161" s="3">
        <v>1.8120000000000001</v>
      </c>
      <c r="H161" s="3">
        <v>84.210999999999999</v>
      </c>
      <c r="I161" s="3">
        <v>0.13900000000000001</v>
      </c>
    </row>
    <row r="162" spans="1:9">
      <c r="A162" s="3" t="s">
        <v>1195</v>
      </c>
      <c r="B162" s="3" t="s">
        <v>16</v>
      </c>
      <c r="C162" s="3">
        <v>44</v>
      </c>
      <c r="D162" s="3">
        <v>7</v>
      </c>
      <c r="E162" s="3" t="s">
        <v>22</v>
      </c>
      <c r="F162" s="3">
        <v>1.4E-2</v>
      </c>
      <c r="G162" s="3">
        <v>2.0950000000000002</v>
      </c>
      <c r="H162" s="3">
        <v>84.090999999999994</v>
      </c>
      <c r="I162" s="3">
        <v>0.13600000000000001</v>
      </c>
    </row>
    <row r="163" spans="1:9">
      <c r="A163" s="3" t="s">
        <v>1196</v>
      </c>
      <c r="B163" s="3" t="s">
        <v>16</v>
      </c>
      <c r="C163" s="3">
        <v>69</v>
      </c>
      <c r="D163" s="3">
        <v>11</v>
      </c>
      <c r="E163" s="3" t="s">
        <v>22</v>
      </c>
      <c r="F163" s="3">
        <v>0.219</v>
      </c>
      <c r="G163" s="3">
        <v>3.2839999999999998</v>
      </c>
      <c r="H163" s="3">
        <v>84.058000000000007</v>
      </c>
      <c r="I163" s="3">
        <v>0.13500000000000001</v>
      </c>
    </row>
    <row r="164" spans="1:9">
      <c r="A164" s="1" t="s">
        <v>1197</v>
      </c>
      <c r="B164" s="1" t="s">
        <v>14</v>
      </c>
      <c r="C164" s="1">
        <v>104</v>
      </c>
      <c r="D164" s="1">
        <v>28</v>
      </c>
      <c r="E164" s="1" t="s">
        <v>15</v>
      </c>
      <c r="F164" s="1">
        <v>1.4999999999999999E-2</v>
      </c>
      <c r="G164" s="1">
        <v>5.8579999999999997</v>
      </c>
      <c r="H164" s="1">
        <v>26.922999999999998</v>
      </c>
      <c r="I164" s="1">
        <v>0.13300000000000001</v>
      </c>
    </row>
    <row r="165" spans="1:9">
      <c r="A165" s="1" t="s">
        <v>1198</v>
      </c>
      <c r="B165" s="1" t="s">
        <v>14</v>
      </c>
      <c r="C165" s="1">
        <v>216</v>
      </c>
      <c r="D165" s="1">
        <v>58</v>
      </c>
      <c r="E165" s="1" t="s">
        <v>15</v>
      </c>
      <c r="F165" s="1">
        <v>3.5999999999999997E-2</v>
      </c>
      <c r="G165" s="1">
        <v>12.134</v>
      </c>
      <c r="H165" s="1">
        <v>26.852</v>
      </c>
      <c r="I165" s="1">
        <v>0.13200000000000001</v>
      </c>
    </row>
    <row r="166" spans="1:9">
      <c r="A166" s="1" t="s">
        <v>1199</v>
      </c>
      <c r="B166" s="1" t="s">
        <v>14</v>
      </c>
      <c r="C166" s="1">
        <v>347</v>
      </c>
      <c r="D166" s="1">
        <v>93</v>
      </c>
      <c r="E166" s="1" t="s">
        <v>15</v>
      </c>
      <c r="F166" s="1">
        <v>9.5000000000000001E-2</v>
      </c>
      <c r="G166" s="1">
        <v>19.456</v>
      </c>
      <c r="H166" s="1">
        <v>26.800999999999998</v>
      </c>
      <c r="I166" s="1">
        <v>0.13100000000000001</v>
      </c>
    </row>
    <row r="167" spans="1:9">
      <c r="A167" s="1" t="s">
        <v>996</v>
      </c>
      <c r="B167" s="1" t="s">
        <v>14</v>
      </c>
      <c r="C167" s="1">
        <v>127</v>
      </c>
      <c r="D167" s="1">
        <v>34</v>
      </c>
      <c r="E167" s="1" t="s">
        <v>15</v>
      </c>
      <c r="F167" s="1">
        <v>7.0000000000000007E-2</v>
      </c>
      <c r="G167" s="1">
        <v>7.1130000000000004</v>
      </c>
      <c r="H167" s="1">
        <v>26.771999999999998</v>
      </c>
      <c r="I167" s="1">
        <v>0.13</v>
      </c>
    </row>
    <row r="168" spans="1:9">
      <c r="A168" s="1" t="s">
        <v>1200</v>
      </c>
      <c r="B168" s="1" t="s">
        <v>14</v>
      </c>
      <c r="C168" s="1">
        <v>255</v>
      </c>
      <c r="D168" s="1">
        <v>68</v>
      </c>
      <c r="E168" s="1" t="s">
        <v>15</v>
      </c>
      <c r="F168" s="1">
        <v>1.6E-2</v>
      </c>
      <c r="G168" s="1">
        <v>14.226000000000001</v>
      </c>
      <c r="H168" s="1">
        <v>26.667000000000002</v>
      </c>
      <c r="I168" s="1">
        <v>0.127</v>
      </c>
    </row>
    <row r="169" spans="1:9">
      <c r="A169" s="1" t="s">
        <v>1201</v>
      </c>
      <c r="B169" s="1" t="s">
        <v>16</v>
      </c>
      <c r="C169" s="1">
        <v>135</v>
      </c>
      <c r="D169" s="1">
        <v>36</v>
      </c>
      <c r="E169" s="1" t="s">
        <v>15</v>
      </c>
      <c r="F169" s="1">
        <v>3.7999999999999999E-2</v>
      </c>
      <c r="G169" s="1">
        <v>7.5309999999999997</v>
      </c>
      <c r="H169" s="1">
        <v>26.667000000000002</v>
      </c>
      <c r="I169" s="1">
        <v>0.127</v>
      </c>
    </row>
    <row r="170" spans="1:9">
      <c r="A170" s="1" t="s">
        <v>1202</v>
      </c>
      <c r="B170" s="1" t="s">
        <v>16</v>
      </c>
      <c r="C170" s="1">
        <v>30</v>
      </c>
      <c r="D170" s="1">
        <v>8</v>
      </c>
      <c r="E170" s="1" t="s">
        <v>15</v>
      </c>
      <c r="F170" s="1">
        <v>0.03</v>
      </c>
      <c r="G170" s="1">
        <v>1.6739999999999999</v>
      </c>
      <c r="H170" s="1">
        <v>26.667000000000002</v>
      </c>
      <c r="I170" s="1">
        <v>0.127</v>
      </c>
    </row>
    <row r="171" spans="1:9">
      <c r="A171" s="1" t="s">
        <v>146</v>
      </c>
      <c r="B171" s="1" t="s">
        <v>16</v>
      </c>
      <c r="C171" s="1">
        <v>30</v>
      </c>
      <c r="D171" s="1">
        <v>8</v>
      </c>
      <c r="E171" s="1" t="s">
        <v>15</v>
      </c>
      <c r="F171" s="1">
        <v>0.23300000000000001</v>
      </c>
      <c r="G171" s="1">
        <v>1.6739999999999999</v>
      </c>
      <c r="H171" s="1">
        <v>26.667000000000002</v>
      </c>
      <c r="I171" s="1">
        <v>0.127</v>
      </c>
    </row>
    <row r="172" spans="1:9">
      <c r="A172" s="3" t="s">
        <v>1203</v>
      </c>
      <c r="B172" s="3" t="s">
        <v>14</v>
      </c>
      <c r="C172" s="3">
        <v>129</v>
      </c>
      <c r="D172" s="3">
        <v>21</v>
      </c>
      <c r="E172" s="3" t="s">
        <v>22</v>
      </c>
      <c r="F172" s="3">
        <v>-5.2999999999999999E-2</v>
      </c>
      <c r="G172" s="3">
        <v>6.1159999999999997</v>
      </c>
      <c r="H172" s="3">
        <v>83.721000000000004</v>
      </c>
      <c r="I172" s="3">
        <v>0.127</v>
      </c>
    </row>
    <row r="173" spans="1:9">
      <c r="A173" s="1" t="s">
        <v>1204</v>
      </c>
      <c r="B173" s="1" t="s">
        <v>14</v>
      </c>
      <c r="C173" s="1">
        <v>173</v>
      </c>
      <c r="D173" s="1">
        <v>46</v>
      </c>
      <c r="E173" s="1" t="s">
        <v>15</v>
      </c>
      <c r="F173" s="1">
        <v>8.1000000000000003E-2</v>
      </c>
      <c r="G173" s="1">
        <v>9.6229999999999993</v>
      </c>
      <c r="H173" s="1">
        <v>26.59</v>
      </c>
      <c r="I173" s="1">
        <v>0.126</v>
      </c>
    </row>
    <row r="174" spans="1:9">
      <c r="A174" s="1" t="s">
        <v>1205</v>
      </c>
      <c r="B174" s="1" t="s">
        <v>16</v>
      </c>
      <c r="C174" s="1">
        <v>49</v>
      </c>
      <c r="D174" s="1">
        <v>13</v>
      </c>
      <c r="E174" s="1" t="s">
        <v>15</v>
      </c>
      <c r="F174" s="1">
        <v>0.629</v>
      </c>
      <c r="G174" s="1">
        <v>2.72</v>
      </c>
      <c r="H174" s="1">
        <v>26.530999999999999</v>
      </c>
      <c r="I174" s="1">
        <v>0.124</v>
      </c>
    </row>
    <row r="175" spans="1:9">
      <c r="A175" s="3" t="s">
        <v>1206</v>
      </c>
      <c r="B175" s="3" t="s">
        <v>14</v>
      </c>
      <c r="C175" s="3">
        <v>61</v>
      </c>
      <c r="D175" s="3">
        <v>10</v>
      </c>
      <c r="E175" s="3" t="s">
        <v>22</v>
      </c>
      <c r="F175" s="3">
        <v>-0.14599999999999999</v>
      </c>
      <c r="G175" s="3">
        <v>2.8879999999999999</v>
      </c>
      <c r="H175" s="3">
        <v>83.606999999999999</v>
      </c>
      <c r="I175" s="3">
        <v>0.124</v>
      </c>
    </row>
    <row r="176" spans="1:9">
      <c r="A176" s="3" t="s">
        <v>1207</v>
      </c>
      <c r="B176" s="3" t="s">
        <v>14</v>
      </c>
      <c r="C176" s="3">
        <v>61</v>
      </c>
      <c r="D176" s="3">
        <v>10</v>
      </c>
      <c r="E176" s="3" t="s">
        <v>22</v>
      </c>
      <c r="F176" s="3">
        <v>-0.10199999999999999</v>
      </c>
      <c r="G176" s="3">
        <v>2.8879999999999999</v>
      </c>
      <c r="H176" s="3">
        <v>83.606999999999999</v>
      </c>
      <c r="I176" s="3">
        <v>0.124</v>
      </c>
    </row>
    <row r="177" spans="1:9">
      <c r="A177" s="1" t="s">
        <v>1208</v>
      </c>
      <c r="B177" s="1" t="s">
        <v>14</v>
      </c>
      <c r="C177" s="1">
        <v>558</v>
      </c>
      <c r="D177" s="1">
        <v>147</v>
      </c>
      <c r="E177" s="1" t="s">
        <v>15</v>
      </c>
      <c r="F177" s="1">
        <v>0</v>
      </c>
      <c r="G177" s="1">
        <v>30.753</v>
      </c>
      <c r="H177" s="1">
        <v>26.344000000000001</v>
      </c>
      <c r="I177" s="1">
        <v>0.12</v>
      </c>
    </row>
    <row r="178" spans="1:9">
      <c r="A178" s="3" t="s">
        <v>1209</v>
      </c>
      <c r="B178" s="3" t="s">
        <v>14</v>
      </c>
      <c r="C178" s="3">
        <v>121</v>
      </c>
      <c r="D178" s="3">
        <v>20</v>
      </c>
      <c r="E178" s="3" t="s">
        <v>22</v>
      </c>
      <c r="F178" s="3">
        <v>-0.26700000000000002</v>
      </c>
      <c r="G178" s="3">
        <v>5.7190000000000003</v>
      </c>
      <c r="H178" s="3">
        <v>83.471000000000004</v>
      </c>
      <c r="I178" s="3">
        <v>0.12</v>
      </c>
    </row>
    <row r="179" spans="1:9">
      <c r="A179" s="3" t="s">
        <v>1210</v>
      </c>
      <c r="B179" s="3" t="s">
        <v>14</v>
      </c>
      <c r="C179" s="3">
        <v>72</v>
      </c>
      <c r="D179" s="3">
        <v>12</v>
      </c>
      <c r="E179" s="3" t="s">
        <v>22</v>
      </c>
      <c r="F179" s="3">
        <v>-6.0999999999999999E-2</v>
      </c>
      <c r="G179" s="3">
        <v>3.3980000000000001</v>
      </c>
      <c r="H179" s="3">
        <v>83.332999999999998</v>
      </c>
      <c r="I179" s="3">
        <v>0.11700000000000001</v>
      </c>
    </row>
    <row r="180" spans="1:9">
      <c r="A180" s="3" t="s">
        <v>1211</v>
      </c>
      <c r="B180" s="3" t="s">
        <v>14</v>
      </c>
      <c r="C180" s="3">
        <v>48</v>
      </c>
      <c r="D180" s="3">
        <v>8</v>
      </c>
      <c r="E180" s="3" t="s">
        <v>22</v>
      </c>
      <c r="F180" s="3">
        <v>-0.48799999999999999</v>
      </c>
      <c r="G180" s="3">
        <v>2.2650000000000001</v>
      </c>
      <c r="H180" s="3">
        <v>83.332999999999998</v>
      </c>
      <c r="I180" s="3">
        <v>0.11700000000000001</v>
      </c>
    </row>
    <row r="181" spans="1:9">
      <c r="A181" s="3" t="s">
        <v>1212</v>
      </c>
      <c r="B181" s="3" t="s">
        <v>16</v>
      </c>
      <c r="C181" s="3">
        <v>348</v>
      </c>
      <c r="D181" s="3">
        <v>58</v>
      </c>
      <c r="E181" s="3" t="s">
        <v>22</v>
      </c>
      <c r="F181" s="3">
        <v>-7.4999999999999997E-2</v>
      </c>
      <c r="G181" s="3">
        <v>16.420999999999999</v>
      </c>
      <c r="H181" s="3">
        <v>83.332999999999998</v>
      </c>
      <c r="I181" s="3">
        <v>0.11700000000000001</v>
      </c>
    </row>
    <row r="182" spans="1:9">
      <c r="A182" s="3" t="s">
        <v>1213</v>
      </c>
      <c r="B182" s="3" t="s">
        <v>16</v>
      </c>
      <c r="C182" s="3">
        <v>66</v>
      </c>
      <c r="D182" s="3">
        <v>11</v>
      </c>
      <c r="E182" s="3" t="s">
        <v>22</v>
      </c>
      <c r="F182" s="3">
        <v>0.31900000000000001</v>
      </c>
      <c r="G182" s="3">
        <v>3.1139999999999999</v>
      </c>
      <c r="H182" s="3">
        <v>83.332999999999998</v>
      </c>
      <c r="I182" s="3">
        <v>0.11700000000000001</v>
      </c>
    </row>
    <row r="183" spans="1:9">
      <c r="A183" s="1" t="s">
        <v>1214</v>
      </c>
      <c r="B183" s="1" t="s">
        <v>14</v>
      </c>
      <c r="C183" s="1">
        <v>287</v>
      </c>
      <c r="D183" s="1">
        <v>75</v>
      </c>
      <c r="E183" s="1" t="s">
        <v>15</v>
      </c>
      <c r="F183" s="1">
        <v>1.4E-2</v>
      </c>
      <c r="G183" s="1">
        <v>15.69</v>
      </c>
      <c r="H183" s="1">
        <v>26.132000000000001</v>
      </c>
      <c r="I183" s="1">
        <v>0.115</v>
      </c>
    </row>
    <row r="184" spans="1:9">
      <c r="A184" s="1" t="s">
        <v>1215</v>
      </c>
      <c r="B184" s="1" t="s">
        <v>14</v>
      </c>
      <c r="C184" s="1">
        <v>207</v>
      </c>
      <c r="D184" s="1">
        <v>54</v>
      </c>
      <c r="E184" s="1" t="s">
        <v>15</v>
      </c>
      <c r="F184" s="1">
        <v>6.3E-2</v>
      </c>
      <c r="G184" s="1">
        <v>11.297000000000001</v>
      </c>
      <c r="H184" s="1">
        <v>26.087</v>
      </c>
      <c r="I184" s="1">
        <v>0.114</v>
      </c>
    </row>
    <row r="185" spans="1:9">
      <c r="A185" s="3" t="s">
        <v>1216</v>
      </c>
      <c r="B185" s="3" t="s">
        <v>14</v>
      </c>
      <c r="C185" s="3">
        <v>155</v>
      </c>
      <c r="D185" s="3">
        <v>26</v>
      </c>
      <c r="E185" s="3" t="s">
        <v>22</v>
      </c>
      <c r="F185" s="3">
        <v>-0.11600000000000001</v>
      </c>
      <c r="G185" s="3">
        <v>7.3049999999999997</v>
      </c>
      <c r="H185" s="3">
        <v>83.225999999999999</v>
      </c>
      <c r="I185" s="3">
        <v>0.114</v>
      </c>
    </row>
    <row r="186" spans="1:9">
      <c r="A186" s="3" t="s">
        <v>1217</v>
      </c>
      <c r="B186" s="3" t="s">
        <v>16</v>
      </c>
      <c r="C186" s="3">
        <v>333</v>
      </c>
      <c r="D186" s="3">
        <v>56</v>
      </c>
      <c r="E186" s="3" t="s">
        <v>22</v>
      </c>
      <c r="F186" s="3">
        <v>-2.7E-2</v>
      </c>
      <c r="G186" s="3">
        <v>15.685</v>
      </c>
      <c r="H186" s="3">
        <v>83.183000000000007</v>
      </c>
      <c r="I186" s="3">
        <v>0.113</v>
      </c>
    </row>
    <row r="187" spans="1:9">
      <c r="A187" s="1" t="s">
        <v>1218</v>
      </c>
      <c r="B187" s="1" t="s">
        <v>16</v>
      </c>
      <c r="C187" s="1">
        <v>104</v>
      </c>
      <c r="D187" s="1">
        <v>27</v>
      </c>
      <c r="E187" s="1" t="s">
        <v>15</v>
      </c>
      <c r="F187" s="1">
        <v>0.106</v>
      </c>
      <c r="G187" s="1">
        <v>5.649</v>
      </c>
      <c r="H187" s="1">
        <v>25.962</v>
      </c>
      <c r="I187" s="1">
        <v>0.111</v>
      </c>
    </row>
    <row r="188" spans="1:9">
      <c r="A188" s="3" t="s">
        <v>1219</v>
      </c>
      <c r="B188" s="3" t="s">
        <v>16</v>
      </c>
      <c r="C188" s="3">
        <v>83</v>
      </c>
      <c r="D188" s="3">
        <v>14</v>
      </c>
      <c r="E188" s="3" t="s">
        <v>22</v>
      </c>
      <c r="F188" s="3">
        <v>-7.0000000000000007E-2</v>
      </c>
      <c r="G188" s="3">
        <v>3.907</v>
      </c>
      <c r="H188" s="3">
        <v>83.132999999999996</v>
      </c>
      <c r="I188" s="3">
        <v>0.111</v>
      </c>
    </row>
    <row r="189" spans="1:9">
      <c r="A189" s="1" t="s">
        <v>1220</v>
      </c>
      <c r="B189" s="1" t="s">
        <v>16</v>
      </c>
      <c r="C189" s="1">
        <v>220</v>
      </c>
      <c r="D189" s="1">
        <v>57</v>
      </c>
      <c r="E189" s="1" t="s">
        <v>15</v>
      </c>
      <c r="F189" s="1">
        <v>0.122</v>
      </c>
      <c r="G189" s="1">
        <v>11.925000000000001</v>
      </c>
      <c r="H189" s="1">
        <v>25.908999999999999</v>
      </c>
      <c r="I189" s="1">
        <v>0.11</v>
      </c>
    </row>
    <row r="190" spans="1:9">
      <c r="A190" s="3" t="s">
        <v>1221</v>
      </c>
      <c r="B190" s="3" t="s">
        <v>14</v>
      </c>
      <c r="C190" s="3">
        <v>47</v>
      </c>
      <c r="D190" s="3">
        <v>8</v>
      </c>
      <c r="E190" s="3" t="s">
        <v>22</v>
      </c>
      <c r="F190" s="3">
        <v>-0.14199999999999999</v>
      </c>
      <c r="G190" s="3">
        <v>2.2080000000000002</v>
      </c>
      <c r="H190" s="3">
        <v>82.978999999999999</v>
      </c>
      <c r="I190" s="3">
        <v>0.107</v>
      </c>
    </row>
    <row r="191" spans="1:9">
      <c r="A191" s="1" t="s">
        <v>1222</v>
      </c>
      <c r="B191" s="1" t="s">
        <v>14</v>
      </c>
      <c r="C191" s="1">
        <v>253</v>
      </c>
      <c r="D191" s="1">
        <v>65</v>
      </c>
      <c r="E191" s="1" t="s">
        <v>15</v>
      </c>
      <c r="F191" s="1">
        <v>1E-3</v>
      </c>
      <c r="G191" s="1">
        <v>13.598000000000001</v>
      </c>
      <c r="H191" s="1">
        <v>25.692</v>
      </c>
      <c r="I191" s="1">
        <v>0.105</v>
      </c>
    </row>
    <row r="192" spans="1:9">
      <c r="A192" s="3" t="s">
        <v>1223</v>
      </c>
      <c r="B192" s="3" t="s">
        <v>14</v>
      </c>
      <c r="C192" s="3">
        <v>76</v>
      </c>
      <c r="D192" s="3">
        <v>13</v>
      </c>
      <c r="E192" s="3" t="s">
        <v>22</v>
      </c>
      <c r="F192" s="3">
        <v>-5.1999999999999998E-2</v>
      </c>
      <c r="G192" s="3">
        <v>3.5670000000000002</v>
      </c>
      <c r="H192" s="3">
        <v>82.894999999999996</v>
      </c>
      <c r="I192" s="3">
        <v>0.105</v>
      </c>
    </row>
    <row r="193" spans="1:9">
      <c r="A193" s="3" t="s">
        <v>1224</v>
      </c>
      <c r="B193" s="3" t="s">
        <v>16</v>
      </c>
      <c r="C193" s="3">
        <v>105</v>
      </c>
      <c r="D193" s="3">
        <v>18</v>
      </c>
      <c r="E193" s="3" t="s">
        <v>22</v>
      </c>
      <c r="F193" s="3">
        <v>0.27300000000000002</v>
      </c>
      <c r="G193" s="3">
        <v>4.9260000000000002</v>
      </c>
      <c r="H193" s="3">
        <v>82.856999999999999</v>
      </c>
      <c r="I193" s="3">
        <v>0.104</v>
      </c>
    </row>
    <row r="194" spans="1:9">
      <c r="A194" s="3" t="s">
        <v>1225</v>
      </c>
      <c r="B194" s="3" t="s">
        <v>16</v>
      </c>
      <c r="C194" s="3">
        <v>155</v>
      </c>
      <c r="D194" s="3">
        <v>27</v>
      </c>
      <c r="E194" s="3" t="s">
        <v>22</v>
      </c>
      <c r="F194" s="3">
        <v>0.17100000000000001</v>
      </c>
      <c r="G194" s="3">
        <v>7.2480000000000002</v>
      </c>
      <c r="H194" s="3">
        <v>82.581000000000003</v>
      </c>
      <c r="I194" s="3">
        <v>9.7000000000000003E-2</v>
      </c>
    </row>
    <row r="195" spans="1:9">
      <c r="A195" s="3" t="s">
        <v>1226</v>
      </c>
      <c r="B195" s="3" t="s">
        <v>14</v>
      </c>
      <c r="C195" s="3">
        <v>86</v>
      </c>
      <c r="D195" s="3">
        <v>15</v>
      </c>
      <c r="E195" s="3" t="s">
        <v>22</v>
      </c>
      <c r="F195" s="3">
        <v>-4.2999999999999997E-2</v>
      </c>
      <c r="G195" s="3">
        <v>4.0199999999999996</v>
      </c>
      <c r="H195" s="3">
        <v>82.558000000000007</v>
      </c>
      <c r="I195" s="3">
        <v>9.7000000000000003E-2</v>
      </c>
    </row>
    <row r="196" spans="1:9">
      <c r="A196" s="3" t="s">
        <v>1227</v>
      </c>
      <c r="B196" s="3" t="s">
        <v>16</v>
      </c>
      <c r="C196" s="3">
        <v>384</v>
      </c>
      <c r="D196" s="3">
        <v>67</v>
      </c>
      <c r="E196" s="3" t="s">
        <v>22</v>
      </c>
      <c r="F196" s="3">
        <v>-1.7999999999999999E-2</v>
      </c>
      <c r="G196" s="3">
        <v>17.95</v>
      </c>
      <c r="H196" s="3">
        <v>82.552000000000007</v>
      </c>
      <c r="I196" s="3">
        <v>9.6000000000000002E-2</v>
      </c>
    </row>
    <row r="197" spans="1:9">
      <c r="A197" s="3" t="s">
        <v>1228</v>
      </c>
      <c r="B197" s="3" t="s">
        <v>14</v>
      </c>
      <c r="C197" s="3">
        <v>126</v>
      </c>
      <c r="D197" s="3">
        <v>22</v>
      </c>
      <c r="E197" s="3" t="s">
        <v>22</v>
      </c>
      <c r="F197" s="3">
        <v>-0.10199999999999999</v>
      </c>
      <c r="G197" s="3">
        <v>5.8890000000000002</v>
      </c>
      <c r="H197" s="3">
        <v>82.54</v>
      </c>
      <c r="I197" s="3">
        <v>9.6000000000000002E-2</v>
      </c>
    </row>
    <row r="198" spans="1:9">
      <c r="A198" s="3" t="s">
        <v>1229</v>
      </c>
      <c r="B198" s="3" t="s">
        <v>14</v>
      </c>
      <c r="C198" s="3">
        <v>160</v>
      </c>
      <c r="D198" s="3">
        <v>28</v>
      </c>
      <c r="E198" s="3" t="s">
        <v>22</v>
      </c>
      <c r="F198" s="3">
        <v>7.6999999999999999E-2</v>
      </c>
      <c r="G198" s="3">
        <v>7.4749999999999996</v>
      </c>
      <c r="H198" s="3">
        <v>82.5</v>
      </c>
      <c r="I198" s="3">
        <v>9.5000000000000001E-2</v>
      </c>
    </row>
    <row r="199" spans="1:9">
      <c r="A199" s="3" t="s">
        <v>1230</v>
      </c>
      <c r="B199" s="3" t="s">
        <v>14</v>
      </c>
      <c r="C199" s="3">
        <v>97</v>
      </c>
      <c r="D199" s="3">
        <v>17</v>
      </c>
      <c r="E199" s="3" t="s">
        <v>22</v>
      </c>
      <c r="F199" s="3">
        <v>0.188</v>
      </c>
      <c r="G199" s="3">
        <v>4.53</v>
      </c>
      <c r="H199" s="3">
        <v>82.474000000000004</v>
      </c>
      <c r="I199" s="3">
        <v>9.4E-2</v>
      </c>
    </row>
    <row r="200" spans="1:9">
      <c r="A200" s="1" t="s">
        <v>1231</v>
      </c>
      <c r="B200" s="1" t="s">
        <v>16</v>
      </c>
      <c r="C200" s="1">
        <v>242</v>
      </c>
      <c r="D200" s="1">
        <v>61</v>
      </c>
      <c r="E200" s="1" t="s">
        <v>15</v>
      </c>
      <c r="F200" s="1">
        <v>5.0999999999999997E-2</v>
      </c>
      <c r="G200" s="1">
        <v>12.762</v>
      </c>
      <c r="H200" s="1">
        <v>25.207000000000001</v>
      </c>
      <c r="I200" s="1">
        <v>9.2999999999999999E-2</v>
      </c>
    </row>
    <row r="201" spans="1:9">
      <c r="A201" s="3" t="s">
        <v>1232</v>
      </c>
      <c r="B201" s="3" t="s">
        <v>16</v>
      </c>
      <c r="C201" s="3">
        <v>91</v>
      </c>
      <c r="D201" s="3">
        <v>16</v>
      </c>
      <c r="E201" s="3" t="s">
        <v>22</v>
      </c>
      <c r="F201" s="3">
        <v>0.307</v>
      </c>
      <c r="G201" s="3">
        <v>4.2469999999999999</v>
      </c>
      <c r="H201" s="3">
        <v>82.418000000000006</v>
      </c>
      <c r="I201" s="3">
        <v>9.2999999999999999E-2</v>
      </c>
    </row>
    <row r="202" spans="1:9">
      <c r="A202" s="3" t="s">
        <v>1233</v>
      </c>
      <c r="B202" s="3" t="s">
        <v>16</v>
      </c>
      <c r="C202" s="3">
        <v>358</v>
      </c>
      <c r="D202" s="3">
        <v>63</v>
      </c>
      <c r="E202" s="3" t="s">
        <v>22</v>
      </c>
      <c r="F202" s="3">
        <v>-0.17699999999999999</v>
      </c>
      <c r="G202" s="3">
        <v>16.704000000000001</v>
      </c>
      <c r="H202" s="3">
        <v>82.402000000000001</v>
      </c>
      <c r="I202" s="3">
        <v>9.2999999999999999E-2</v>
      </c>
    </row>
    <row r="203" spans="1:9">
      <c r="A203" s="1" t="s">
        <v>1013</v>
      </c>
      <c r="B203" s="1" t="s">
        <v>14</v>
      </c>
      <c r="C203" s="1">
        <v>950</v>
      </c>
      <c r="D203" s="1">
        <v>238</v>
      </c>
      <c r="E203" s="1" t="s">
        <v>15</v>
      </c>
      <c r="F203" s="1">
        <v>5.0000000000000001E-3</v>
      </c>
      <c r="G203" s="1">
        <v>49.790999999999997</v>
      </c>
      <c r="H203" s="1">
        <v>25.053000000000001</v>
      </c>
      <c r="I203" s="1">
        <v>0.09</v>
      </c>
    </row>
    <row r="204" spans="1:9">
      <c r="A204" s="1" t="s">
        <v>1234</v>
      </c>
      <c r="B204" s="1" t="s">
        <v>14</v>
      </c>
      <c r="C204" s="1">
        <v>116</v>
      </c>
      <c r="D204" s="1">
        <v>29</v>
      </c>
      <c r="E204" s="1" t="s">
        <v>15</v>
      </c>
      <c r="F204" s="1">
        <v>-0.04</v>
      </c>
      <c r="G204" s="1">
        <v>6.0670000000000002</v>
      </c>
      <c r="H204" s="1">
        <v>25</v>
      </c>
      <c r="I204" s="1">
        <v>8.8999999999999996E-2</v>
      </c>
    </row>
    <row r="205" spans="1:9">
      <c r="A205" s="1" t="s">
        <v>1235</v>
      </c>
      <c r="B205" s="1" t="s">
        <v>14</v>
      </c>
      <c r="C205" s="1">
        <v>433</v>
      </c>
      <c r="D205" s="1">
        <v>108</v>
      </c>
      <c r="E205" s="1" t="s">
        <v>15</v>
      </c>
      <c r="F205" s="1">
        <v>9.1999999999999998E-2</v>
      </c>
      <c r="G205" s="1">
        <v>22.594000000000001</v>
      </c>
      <c r="H205" s="1">
        <v>24.942</v>
      </c>
      <c r="I205" s="1">
        <v>8.6999999999999994E-2</v>
      </c>
    </row>
    <row r="206" spans="1:9">
      <c r="A206" s="1" t="s">
        <v>1236</v>
      </c>
      <c r="B206" s="1" t="s">
        <v>14</v>
      </c>
      <c r="C206" s="1">
        <v>677</v>
      </c>
      <c r="D206" s="1">
        <v>168</v>
      </c>
      <c r="E206" s="1" t="s">
        <v>15</v>
      </c>
      <c r="F206" s="1">
        <v>3.0000000000000001E-3</v>
      </c>
      <c r="G206" s="1">
        <v>35.146000000000001</v>
      </c>
      <c r="H206" s="1">
        <v>24.815000000000001</v>
      </c>
      <c r="I206" s="1">
        <v>8.4000000000000005E-2</v>
      </c>
    </row>
    <row r="207" spans="1:9">
      <c r="A207" s="1" t="s">
        <v>1237</v>
      </c>
      <c r="B207" s="1" t="s">
        <v>14</v>
      </c>
      <c r="C207" s="1">
        <v>774</v>
      </c>
      <c r="D207" s="1">
        <v>192</v>
      </c>
      <c r="E207" s="1" t="s">
        <v>15</v>
      </c>
      <c r="F207" s="1">
        <v>6.6000000000000003E-2</v>
      </c>
      <c r="G207" s="1">
        <v>40.167000000000002</v>
      </c>
      <c r="H207" s="1">
        <v>24.806000000000001</v>
      </c>
      <c r="I207" s="1">
        <v>8.4000000000000005E-2</v>
      </c>
    </row>
    <row r="208" spans="1:9">
      <c r="A208" s="1" t="s">
        <v>1238</v>
      </c>
      <c r="B208" s="1" t="s">
        <v>14</v>
      </c>
      <c r="C208" s="1">
        <v>581</v>
      </c>
      <c r="D208" s="1">
        <v>144</v>
      </c>
      <c r="E208" s="1" t="s">
        <v>15</v>
      </c>
      <c r="F208" s="1">
        <v>7.4999999999999997E-2</v>
      </c>
      <c r="G208" s="1">
        <v>30.126000000000001</v>
      </c>
      <c r="H208" s="1">
        <v>24.785</v>
      </c>
      <c r="I208" s="1">
        <v>8.4000000000000005E-2</v>
      </c>
    </row>
    <row r="209" spans="1:9">
      <c r="A209" s="1" t="s">
        <v>1239</v>
      </c>
      <c r="B209" s="1" t="s">
        <v>16</v>
      </c>
      <c r="C209" s="1">
        <v>226</v>
      </c>
      <c r="D209" s="1">
        <v>56</v>
      </c>
      <c r="E209" s="1" t="s">
        <v>15</v>
      </c>
      <c r="F209" s="1">
        <v>3.3000000000000002E-2</v>
      </c>
      <c r="G209" s="1">
        <v>11.715</v>
      </c>
      <c r="H209" s="1">
        <v>24.779</v>
      </c>
      <c r="I209" s="1">
        <v>8.3000000000000004E-2</v>
      </c>
    </row>
    <row r="210" spans="1:9">
      <c r="A210" s="1" t="s">
        <v>1240</v>
      </c>
      <c r="B210" s="1" t="s">
        <v>14</v>
      </c>
      <c r="C210" s="1">
        <v>586</v>
      </c>
      <c r="D210" s="1">
        <v>145</v>
      </c>
      <c r="E210" s="1" t="s">
        <v>15</v>
      </c>
      <c r="F210" s="1">
        <v>2E-3</v>
      </c>
      <c r="G210" s="1">
        <v>30.335000000000001</v>
      </c>
      <c r="H210" s="1">
        <v>24.744</v>
      </c>
      <c r="I210" s="1">
        <v>8.3000000000000004E-2</v>
      </c>
    </row>
    <row r="211" spans="1:9">
      <c r="A211" s="1" t="s">
        <v>1241</v>
      </c>
      <c r="B211" s="1" t="s">
        <v>14</v>
      </c>
      <c r="C211" s="1">
        <v>912</v>
      </c>
      <c r="D211" s="1">
        <v>225</v>
      </c>
      <c r="E211" s="1" t="s">
        <v>15</v>
      </c>
      <c r="F211" s="1">
        <v>0.14299999999999999</v>
      </c>
      <c r="G211" s="1">
        <v>47.070999999999998</v>
      </c>
      <c r="H211" s="1">
        <v>24.670999999999999</v>
      </c>
      <c r="I211" s="1">
        <v>8.1000000000000003E-2</v>
      </c>
    </row>
    <row r="212" spans="1:9">
      <c r="A212" s="1" t="s">
        <v>1242</v>
      </c>
      <c r="B212" s="1" t="s">
        <v>14</v>
      </c>
      <c r="C212" s="1">
        <v>53</v>
      </c>
      <c r="D212" s="1">
        <v>13</v>
      </c>
      <c r="E212" s="1" t="s">
        <v>15</v>
      </c>
      <c r="F212" s="1">
        <v>0.16300000000000001</v>
      </c>
      <c r="G212" s="1">
        <v>2.72</v>
      </c>
      <c r="H212" s="1">
        <v>24.527999999999999</v>
      </c>
      <c r="I212" s="1">
        <v>7.6999999999999999E-2</v>
      </c>
    </row>
    <row r="213" spans="1:9">
      <c r="A213" s="1" t="s">
        <v>1243</v>
      </c>
      <c r="B213" s="1" t="s">
        <v>14</v>
      </c>
      <c r="C213" s="1">
        <v>808</v>
      </c>
      <c r="D213" s="1">
        <v>198</v>
      </c>
      <c r="E213" s="1" t="s">
        <v>15</v>
      </c>
      <c r="F213" s="1">
        <v>0.28399999999999997</v>
      </c>
      <c r="G213" s="1">
        <v>41.423000000000002</v>
      </c>
      <c r="H213" s="1">
        <v>24.504999999999999</v>
      </c>
      <c r="I213" s="1">
        <v>7.6999999999999999E-2</v>
      </c>
    </row>
    <row r="214" spans="1:9">
      <c r="A214" s="1" t="s">
        <v>1244</v>
      </c>
      <c r="B214" s="1" t="s">
        <v>14</v>
      </c>
      <c r="C214" s="1">
        <v>445</v>
      </c>
      <c r="D214" s="1">
        <v>109</v>
      </c>
      <c r="E214" s="1" t="s">
        <v>15</v>
      </c>
      <c r="F214" s="1">
        <v>0</v>
      </c>
      <c r="G214" s="1">
        <v>22.803000000000001</v>
      </c>
      <c r="H214" s="1">
        <v>24.494</v>
      </c>
      <c r="I214" s="1">
        <v>7.6999999999999999E-2</v>
      </c>
    </row>
    <row r="215" spans="1:9">
      <c r="A215" s="1" t="s">
        <v>1023</v>
      </c>
      <c r="B215" s="1" t="s">
        <v>14</v>
      </c>
      <c r="C215" s="1">
        <v>708</v>
      </c>
      <c r="D215" s="1">
        <v>173</v>
      </c>
      <c r="E215" s="1" t="s">
        <v>15</v>
      </c>
      <c r="F215" s="1">
        <v>1.4999999999999999E-2</v>
      </c>
      <c r="G215" s="1">
        <v>36.192</v>
      </c>
      <c r="H215" s="1">
        <v>24.434999999999999</v>
      </c>
      <c r="I215" s="1">
        <v>7.4999999999999997E-2</v>
      </c>
    </row>
    <row r="216" spans="1:9">
      <c r="A216" s="3" t="s">
        <v>1245</v>
      </c>
      <c r="B216" s="3" t="s">
        <v>16</v>
      </c>
      <c r="C216" s="3">
        <v>361</v>
      </c>
      <c r="D216" s="3">
        <v>66</v>
      </c>
      <c r="E216" s="3" t="s">
        <v>22</v>
      </c>
      <c r="F216" s="3">
        <v>-3.1E-2</v>
      </c>
      <c r="G216" s="3">
        <v>16.704000000000001</v>
      </c>
      <c r="H216" s="3">
        <v>81.716999999999999</v>
      </c>
      <c r="I216" s="3">
        <v>7.4999999999999997E-2</v>
      </c>
    </row>
    <row r="217" spans="1:9">
      <c r="A217" s="1" t="s">
        <v>1246</v>
      </c>
      <c r="B217" s="1" t="s">
        <v>16</v>
      </c>
      <c r="C217" s="1">
        <v>41</v>
      </c>
      <c r="D217" s="1">
        <v>10</v>
      </c>
      <c r="E217" s="1" t="s">
        <v>15</v>
      </c>
      <c r="F217" s="1">
        <v>-0.10199999999999999</v>
      </c>
      <c r="G217" s="1">
        <v>2.0920000000000001</v>
      </c>
      <c r="H217" s="1">
        <v>24.39</v>
      </c>
      <c r="I217" s="1">
        <v>7.3999999999999996E-2</v>
      </c>
    </row>
    <row r="218" spans="1:9">
      <c r="A218" s="1" t="s">
        <v>1247</v>
      </c>
      <c r="B218" s="1" t="s">
        <v>14</v>
      </c>
      <c r="C218" s="1">
        <v>243</v>
      </c>
      <c r="D218" s="1">
        <v>59</v>
      </c>
      <c r="E218" s="1" t="s">
        <v>15</v>
      </c>
      <c r="F218" s="1">
        <v>3.5000000000000003E-2</v>
      </c>
      <c r="G218" s="1">
        <v>12.343</v>
      </c>
      <c r="H218" s="1">
        <v>24.28</v>
      </c>
      <c r="I218" s="1">
        <v>7.1999999999999995E-2</v>
      </c>
    </row>
    <row r="219" spans="1:9">
      <c r="A219" s="1" t="s">
        <v>1248</v>
      </c>
      <c r="B219" s="1" t="s">
        <v>14</v>
      </c>
      <c r="C219" s="1">
        <v>1002</v>
      </c>
      <c r="D219" s="1">
        <v>243</v>
      </c>
      <c r="E219" s="1" t="s">
        <v>15</v>
      </c>
      <c r="F219" s="1">
        <v>6.0000000000000001E-3</v>
      </c>
      <c r="G219" s="1">
        <v>50.837000000000003</v>
      </c>
      <c r="H219" s="1">
        <v>24.251000000000001</v>
      </c>
      <c r="I219" s="1">
        <v>7.0999999999999994E-2</v>
      </c>
    </row>
    <row r="220" spans="1:9">
      <c r="A220" s="1" t="s">
        <v>1249</v>
      </c>
      <c r="B220" s="1" t="s">
        <v>16</v>
      </c>
      <c r="C220" s="1">
        <v>322</v>
      </c>
      <c r="D220" s="1">
        <v>78</v>
      </c>
      <c r="E220" s="1" t="s">
        <v>15</v>
      </c>
      <c r="F220" s="1">
        <v>7.0000000000000001E-3</v>
      </c>
      <c r="G220" s="1">
        <v>16.318000000000001</v>
      </c>
      <c r="H220" s="1">
        <v>24.224</v>
      </c>
      <c r="I220" s="1">
        <v>7.0000000000000007E-2</v>
      </c>
    </row>
    <row r="221" spans="1:9">
      <c r="A221" s="3" t="s">
        <v>1250</v>
      </c>
      <c r="B221" s="3" t="s">
        <v>14</v>
      </c>
      <c r="C221" s="3">
        <v>210</v>
      </c>
      <c r="D221" s="3">
        <v>39</v>
      </c>
      <c r="E221" s="3" t="s">
        <v>22</v>
      </c>
      <c r="F221" s="3">
        <v>-2.7E-2</v>
      </c>
      <c r="G221" s="3">
        <v>9.6829999999999998</v>
      </c>
      <c r="H221" s="3">
        <v>81.429000000000002</v>
      </c>
      <c r="I221" s="3">
        <v>6.8000000000000005E-2</v>
      </c>
    </row>
    <row r="222" spans="1:9">
      <c r="A222" s="3" t="s">
        <v>1251</v>
      </c>
      <c r="B222" s="3" t="s">
        <v>14</v>
      </c>
      <c r="C222" s="3">
        <v>199</v>
      </c>
      <c r="D222" s="3">
        <v>37</v>
      </c>
      <c r="E222" s="3" t="s">
        <v>22</v>
      </c>
      <c r="F222" s="3">
        <v>-2.1999999999999999E-2</v>
      </c>
      <c r="G222" s="3">
        <v>9.173</v>
      </c>
      <c r="H222" s="3">
        <v>81.406999999999996</v>
      </c>
      <c r="I222" s="3">
        <v>6.7000000000000004E-2</v>
      </c>
    </row>
    <row r="223" spans="1:9">
      <c r="A223" s="1" t="s">
        <v>1252</v>
      </c>
      <c r="B223" s="1" t="s">
        <v>14</v>
      </c>
      <c r="C223" s="1">
        <v>409</v>
      </c>
      <c r="D223" s="1">
        <v>98</v>
      </c>
      <c r="E223" s="1" t="s">
        <v>15</v>
      </c>
      <c r="F223" s="1">
        <v>7.6999999999999999E-2</v>
      </c>
      <c r="G223" s="1">
        <v>20.501999999999999</v>
      </c>
      <c r="H223" s="1">
        <v>23.960999999999999</v>
      </c>
      <c r="I223" s="1">
        <v>6.4000000000000001E-2</v>
      </c>
    </row>
    <row r="224" spans="1:9">
      <c r="A224" s="1" t="s">
        <v>1253</v>
      </c>
      <c r="B224" s="1" t="s">
        <v>14</v>
      </c>
      <c r="C224" s="1">
        <v>288</v>
      </c>
      <c r="D224" s="1">
        <v>69</v>
      </c>
      <c r="E224" s="1" t="s">
        <v>15</v>
      </c>
      <c r="F224" s="1">
        <v>0.111</v>
      </c>
      <c r="G224" s="1">
        <v>14.435</v>
      </c>
      <c r="H224" s="1">
        <v>23.957999999999998</v>
      </c>
      <c r="I224" s="1">
        <v>6.4000000000000001E-2</v>
      </c>
    </row>
    <row r="225" spans="1:9">
      <c r="A225" s="1" t="s">
        <v>1254</v>
      </c>
      <c r="B225" s="1" t="s">
        <v>16</v>
      </c>
      <c r="C225" s="1">
        <v>113</v>
      </c>
      <c r="D225" s="1">
        <v>27</v>
      </c>
      <c r="E225" s="1" t="s">
        <v>15</v>
      </c>
      <c r="F225" s="1">
        <v>0.22900000000000001</v>
      </c>
      <c r="G225" s="1">
        <v>5.649</v>
      </c>
      <c r="H225" s="1">
        <v>23.893999999999998</v>
      </c>
      <c r="I225" s="1">
        <v>6.2E-2</v>
      </c>
    </row>
    <row r="226" spans="1:9">
      <c r="A226" s="3" t="s">
        <v>1255</v>
      </c>
      <c r="B226" s="3" t="s">
        <v>16</v>
      </c>
      <c r="C226" s="3">
        <v>404</v>
      </c>
      <c r="D226" s="3">
        <v>76</v>
      </c>
      <c r="E226" s="3" t="s">
        <v>22</v>
      </c>
      <c r="F226" s="3">
        <v>-0.16500000000000001</v>
      </c>
      <c r="G226" s="3">
        <v>18.573</v>
      </c>
      <c r="H226" s="3">
        <v>81.188000000000002</v>
      </c>
      <c r="I226" s="3">
        <v>6.2E-2</v>
      </c>
    </row>
    <row r="227" spans="1:9">
      <c r="A227" s="3" t="s">
        <v>1256</v>
      </c>
      <c r="B227" s="3" t="s">
        <v>16</v>
      </c>
      <c r="C227" s="3">
        <v>85</v>
      </c>
      <c r="D227" s="3">
        <v>16</v>
      </c>
      <c r="E227" s="3" t="s">
        <v>22</v>
      </c>
      <c r="F227" s="3">
        <v>0.105</v>
      </c>
      <c r="G227" s="3">
        <v>3.907</v>
      </c>
      <c r="H227" s="3">
        <v>81.176000000000002</v>
      </c>
      <c r="I227" s="3">
        <v>6.0999999999999999E-2</v>
      </c>
    </row>
    <row r="228" spans="1:9">
      <c r="A228" s="1" t="s">
        <v>1257</v>
      </c>
      <c r="B228" s="1" t="s">
        <v>14</v>
      </c>
      <c r="C228" s="1">
        <v>42</v>
      </c>
      <c r="D228" s="1">
        <v>10</v>
      </c>
      <c r="E228" s="1" t="s">
        <v>15</v>
      </c>
      <c r="F228" s="1">
        <v>0.14699999999999999</v>
      </c>
      <c r="G228" s="1">
        <v>2.0920000000000001</v>
      </c>
      <c r="H228" s="1">
        <v>23.81</v>
      </c>
      <c r="I228" s="1">
        <v>0.06</v>
      </c>
    </row>
    <row r="229" spans="1:9">
      <c r="A229" s="1" t="s">
        <v>120</v>
      </c>
      <c r="B229" s="1" t="s">
        <v>16</v>
      </c>
      <c r="C229" s="1">
        <v>80</v>
      </c>
      <c r="D229" s="1">
        <v>19</v>
      </c>
      <c r="E229" s="1" t="s">
        <v>15</v>
      </c>
      <c r="F229" s="1">
        <v>0.11700000000000001</v>
      </c>
      <c r="G229" s="1">
        <v>3.9750000000000001</v>
      </c>
      <c r="H229" s="1">
        <v>23.75</v>
      </c>
      <c r="I229" s="1">
        <v>5.8999999999999997E-2</v>
      </c>
    </row>
    <row r="230" spans="1:9">
      <c r="A230" s="1" t="s">
        <v>1258</v>
      </c>
      <c r="B230" s="1" t="s">
        <v>14</v>
      </c>
      <c r="C230" s="1">
        <v>422</v>
      </c>
      <c r="D230" s="1">
        <v>100</v>
      </c>
      <c r="E230" s="1" t="s">
        <v>15</v>
      </c>
      <c r="F230" s="1">
        <v>0.33500000000000002</v>
      </c>
      <c r="G230" s="1">
        <v>20.920999999999999</v>
      </c>
      <c r="H230" s="1">
        <v>23.696999999999999</v>
      </c>
      <c r="I230" s="1">
        <v>5.8000000000000003E-2</v>
      </c>
    </row>
    <row r="231" spans="1:9">
      <c r="A231" s="3" t="s">
        <v>1259</v>
      </c>
      <c r="B231" s="3" t="s">
        <v>16</v>
      </c>
      <c r="C231" s="3">
        <v>95</v>
      </c>
      <c r="D231" s="3">
        <v>18</v>
      </c>
      <c r="E231" s="3" t="s">
        <v>22</v>
      </c>
      <c r="F231" s="3">
        <v>9.2999999999999999E-2</v>
      </c>
      <c r="G231" s="3">
        <v>4.3600000000000003</v>
      </c>
      <c r="H231" s="3">
        <v>81.052999999999997</v>
      </c>
      <c r="I231" s="3">
        <v>5.8000000000000003E-2</v>
      </c>
    </row>
    <row r="232" spans="1:9">
      <c r="A232" s="1" t="s">
        <v>21</v>
      </c>
      <c r="B232" s="1" t="s">
        <v>16</v>
      </c>
      <c r="C232" s="1">
        <v>347</v>
      </c>
      <c r="D232" s="1">
        <v>82</v>
      </c>
      <c r="E232" s="1" t="s">
        <v>15</v>
      </c>
      <c r="F232" s="1">
        <v>1.2999999999999999E-2</v>
      </c>
      <c r="G232" s="1">
        <v>17.155000000000001</v>
      </c>
      <c r="H232" s="1">
        <v>23.631</v>
      </c>
      <c r="I232" s="1">
        <v>5.6000000000000001E-2</v>
      </c>
    </row>
    <row r="233" spans="1:9">
      <c r="A233" s="3" t="s">
        <v>1260</v>
      </c>
      <c r="B233" s="3" t="s">
        <v>16</v>
      </c>
      <c r="C233" s="3">
        <v>42</v>
      </c>
      <c r="D233" s="3">
        <v>8</v>
      </c>
      <c r="E233" s="3" t="s">
        <v>22</v>
      </c>
      <c r="F233" s="3">
        <v>0.20799999999999999</v>
      </c>
      <c r="G233" s="3">
        <v>1.925</v>
      </c>
      <c r="H233" s="3">
        <v>80.951999999999998</v>
      </c>
      <c r="I233" s="3">
        <v>5.6000000000000001E-2</v>
      </c>
    </row>
    <row r="234" spans="1:9">
      <c r="A234" s="1" t="s">
        <v>1261</v>
      </c>
      <c r="B234" s="1" t="s">
        <v>14</v>
      </c>
      <c r="C234" s="1">
        <v>589</v>
      </c>
      <c r="D234" s="1">
        <v>139</v>
      </c>
      <c r="E234" s="1" t="s">
        <v>15</v>
      </c>
      <c r="F234" s="1">
        <v>-0.186</v>
      </c>
      <c r="G234" s="1">
        <v>29.079000000000001</v>
      </c>
      <c r="H234" s="1">
        <v>23.599</v>
      </c>
      <c r="I234" s="1">
        <v>5.5E-2</v>
      </c>
    </row>
    <row r="235" spans="1:9">
      <c r="A235" s="1" t="s">
        <v>1262</v>
      </c>
      <c r="B235" s="1" t="s">
        <v>14</v>
      </c>
      <c r="C235" s="1">
        <v>856</v>
      </c>
      <c r="D235" s="1">
        <v>202</v>
      </c>
      <c r="E235" s="1" t="s">
        <v>15</v>
      </c>
      <c r="F235" s="1">
        <v>-6.6000000000000003E-2</v>
      </c>
      <c r="G235" s="1">
        <v>42.259</v>
      </c>
      <c r="H235" s="1">
        <v>23.597999999999999</v>
      </c>
      <c r="I235" s="1">
        <v>5.5E-2</v>
      </c>
    </row>
    <row r="236" spans="1:9">
      <c r="A236" s="3" t="s">
        <v>48</v>
      </c>
      <c r="B236" s="3" t="s">
        <v>14</v>
      </c>
      <c r="C236" s="3">
        <v>402</v>
      </c>
      <c r="D236" s="3">
        <v>77</v>
      </c>
      <c r="E236" s="3" t="s">
        <v>22</v>
      </c>
      <c r="F236" s="3">
        <v>-4.2999999999999997E-2</v>
      </c>
      <c r="G236" s="3">
        <v>18.402999999999999</v>
      </c>
      <c r="H236" s="3">
        <v>80.846000000000004</v>
      </c>
      <c r="I236" s="3">
        <v>5.2999999999999999E-2</v>
      </c>
    </row>
    <row r="237" spans="1:9">
      <c r="A237" s="1" t="s">
        <v>1263</v>
      </c>
      <c r="B237" s="1" t="s">
        <v>14</v>
      </c>
      <c r="C237" s="1">
        <v>594</v>
      </c>
      <c r="D237" s="1">
        <v>139</v>
      </c>
      <c r="E237" s="1" t="s">
        <v>15</v>
      </c>
      <c r="F237" s="1">
        <v>6.5000000000000002E-2</v>
      </c>
      <c r="G237" s="1">
        <v>29.079000000000001</v>
      </c>
      <c r="H237" s="1">
        <v>23.401</v>
      </c>
      <c r="I237" s="1">
        <v>5.0999999999999997E-2</v>
      </c>
    </row>
    <row r="238" spans="1:9">
      <c r="A238" s="1" t="s">
        <v>1264</v>
      </c>
      <c r="B238" s="1" t="s">
        <v>14</v>
      </c>
      <c r="C238" s="1">
        <v>385</v>
      </c>
      <c r="D238" s="1">
        <v>90</v>
      </c>
      <c r="E238" s="1" t="s">
        <v>15</v>
      </c>
      <c r="F238" s="1">
        <v>3.5000000000000003E-2</v>
      </c>
      <c r="G238" s="1">
        <v>18.827999999999999</v>
      </c>
      <c r="H238" s="1">
        <v>23.376999999999999</v>
      </c>
      <c r="I238" s="1">
        <v>0.05</v>
      </c>
    </row>
    <row r="239" spans="1:9">
      <c r="A239" s="1" t="s">
        <v>1265</v>
      </c>
      <c r="B239" s="1" t="s">
        <v>14</v>
      </c>
      <c r="C239" s="1">
        <v>261</v>
      </c>
      <c r="D239" s="1">
        <v>61</v>
      </c>
      <c r="E239" s="1" t="s">
        <v>15</v>
      </c>
      <c r="F239" s="1">
        <v>0.10100000000000001</v>
      </c>
      <c r="G239" s="1">
        <v>12.762</v>
      </c>
      <c r="H239" s="1">
        <v>23.372</v>
      </c>
      <c r="I239" s="1">
        <v>0.05</v>
      </c>
    </row>
    <row r="240" spans="1:9">
      <c r="A240" s="1" t="s">
        <v>1266</v>
      </c>
      <c r="B240" s="1" t="s">
        <v>14</v>
      </c>
      <c r="C240" s="1">
        <v>159</v>
      </c>
      <c r="D240" s="1">
        <v>37</v>
      </c>
      <c r="E240" s="1" t="s">
        <v>15</v>
      </c>
      <c r="F240" s="1">
        <v>0.192</v>
      </c>
      <c r="G240" s="1">
        <v>7.7409999999999997</v>
      </c>
      <c r="H240" s="1">
        <v>23.27</v>
      </c>
      <c r="I240" s="1">
        <v>4.8000000000000001E-2</v>
      </c>
    </row>
    <row r="241" spans="1:9">
      <c r="A241" s="1" t="s">
        <v>1267</v>
      </c>
      <c r="B241" s="1" t="s">
        <v>14</v>
      </c>
      <c r="C241" s="1">
        <v>271</v>
      </c>
      <c r="D241" s="1">
        <v>63</v>
      </c>
      <c r="E241" s="1" t="s">
        <v>15</v>
      </c>
      <c r="F241" s="1">
        <v>0.151</v>
      </c>
      <c r="G241" s="1">
        <v>13.18</v>
      </c>
      <c r="H241" s="1">
        <v>23.247</v>
      </c>
      <c r="I241" s="1">
        <v>4.7E-2</v>
      </c>
    </row>
    <row r="242" spans="1:9">
      <c r="A242" s="1" t="s">
        <v>1268</v>
      </c>
      <c r="B242" s="1" t="s">
        <v>14</v>
      </c>
      <c r="C242" s="1">
        <v>432</v>
      </c>
      <c r="D242" s="1">
        <v>100</v>
      </c>
      <c r="E242" s="1" t="s">
        <v>15</v>
      </c>
      <c r="F242" s="1">
        <v>-0.16</v>
      </c>
      <c r="G242" s="1">
        <v>20.920999999999999</v>
      </c>
      <c r="H242" s="1">
        <v>23.148</v>
      </c>
      <c r="I242" s="1">
        <v>4.4999999999999998E-2</v>
      </c>
    </row>
    <row r="243" spans="1:9">
      <c r="A243" s="3" t="s">
        <v>1269</v>
      </c>
      <c r="B243" s="3" t="s">
        <v>14</v>
      </c>
      <c r="C243" s="3">
        <v>174</v>
      </c>
      <c r="D243" s="3">
        <v>34</v>
      </c>
      <c r="E243" s="3" t="s">
        <v>22</v>
      </c>
      <c r="F243" s="3">
        <v>3.6999999999999998E-2</v>
      </c>
      <c r="G243" s="3">
        <v>7.9279999999999999</v>
      </c>
      <c r="H243" s="3">
        <v>80.459999999999994</v>
      </c>
      <c r="I243" s="3">
        <v>4.2999999999999997E-2</v>
      </c>
    </row>
    <row r="244" spans="1:9">
      <c r="A244" s="1" t="s">
        <v>1270</v>
      </c>
      <c r="B244" s="1" t="s">
        <v>14</v>
      </c>
      <c r="C244" s="1">
        <v>235</v>
      </c>
      <c r="D244" s="1">
        <v>54</v>
      </c>
      <c r="E244" s="1" t="s">
        <v>15</v>
      </c>
      <c r="F244" s="1">
        <v>0.08</v>
      </c>
      <c r="G244" s="1">
        <v>11.297000000000001</v>
      </c>
      <c r="H244" s="1">
        <v>22.978999999999999</v>
      </c>
      <c r="I244" s="1">
        <v>4.1000000000000002E-2</v>
      </c>
    </row>
    <row r="245" spans="1:9">
      <c r="A245" s="3" t="s">
        <v>1271</v>
      </c>
      <c r="B245" s="3" t="s">
        <v>16</v>
      </c>
      <c r="C245" s="3">
        <v>56</v>
      </c>
      <c r="D245" s="3">
        <v>11</v>
      </c>
      <c r="E245" s="3" t="s">
        <v>22</v>
      </c>
      <c r="F245" s="3">
        <v>0.1</v>
      </c>
      <c r="G245" s="3">
        <v>2.548</v>
      </c>
      <c r="H245" s="3">
        <v>80.356999999999999</v>
      </c>
      <c r="I245" s="3">
        <v>4.1000000000000002E-2</v>
      </c>
    </row>
    <row r="246" spans="1:9">
      <c r="A246" s="1" t="s">
        <v>1272</v>
      </c>
      <c r="B246" s="1" t="s">
        <v>14</v>
      </c>
      <c r="C246" s="1">
        <v>584</v>
      </c>
      <c r="D246" s="1">
        <v>133</v>
      </c>
      <c r="E246" s="1" t="s">
        <v>15</v>
      </c>
      <c r="F246" s="1">
        <v>-5.2999999999999999E-2</v>
      </c>
      <c r="G246" s="1">
        <v>27.824000000000002</v>
      </c>
      <c r="H246" s="1">
        <v>22.774000000000001</v>
      </c>
      <c r="I246" s="1">
        <v>3.5999999999999997E-2</v>
      </c>
    </row>
    <row r="247" spans="1:9">
      <c r="A247" s="3" t="s">
        <v>1273</v>
      </c>
      <c r="B247" s="3" t="s">
        <v>14</v>
      </c>
      <c r="C247" s="3">
        <v>111</v>
      </c>
      <c r="D247" s="3">
        <v>22</v>
      </c>
      <c r="E247" s="3" t="s">
        <v>22</v>
      </c>
      <c r="F247" s="3">
        <v>-0.27500000000000002</v>
      </c>
      <c r="G247" s="3">
        <v>5.04</v>
      </c>
      <c r="H247" s="3">
        <v>80.180000000000007</v>
      </c>
      <c r="I247" s="3">
        <v>3.5999999999999997E-2</v>
      </c>
    </row>
    <row r="248" spans="1:9">
      <c r="A248" s="3" t="s">
        <v>1044</v>
      </c>
      <c r="B248" s="3" t="s">
        <v>14</v>
      </c>
      <c r="C248" s="3">
        <v>393</v>
      </c>
      <c r="D248" s="3">
        <v>78</v>
      </c>
      <c r="E248" s="3" t="s">
        <v>22</v>
      </c>
      <c r="F248" s="3">
        <v>0.26100000000000001</v>
      </c>
      <c r="G248" s="3">
        <v>17.837</v>
      </c>
      <c r="H248" s="3">
        <v>80.153000000000006</v>
      </c>
      <c r="I248" s="3">
        <v>3.5999999999999997E-2</v>
      </c>
    </row>
    <row r="249" spans="1:9">
      <c r="A249" s="3" t="s">
        <v>1274</v>
      </c>
      <c r="B249" s="3" t="s">
        <v>14</v>
      </c>
      <c r="C249" s="3">
        <v>141</v>
      </c>
      <c r="D249" s="3">
        <v>28</v>
      </c>
      <c r="E249" s="3" t="s">
        <v>22</v>
      </c>
      <c r="F249" s="3">
        <v>-6.2E-2</v>
      </c>
      <c r="G249" s="3">
        <v>6.399</v>
      </c>
      <c r="H249" s="3">
        <v>80.141999999999996</v>
      </c>
      <c r="I249" s="3">
        <v>3.5999999999999997E-2</v>
      </c>
    </row>
    <row r="250" spans="1:9">
      <c r="A250" s="1" t="s">
        <v>1275</v>
      </c>
      <c r="B250" s="1" t="s">
        <v>14</v>
      </c>
      <c r="C250" s="1">
        <v>330</v>
      </c>
      <c r="D250" s="1">
        <v>75</v>
      </c>
      <c r="E250" s="1" t="s">
        <v>15</v>
      </c>
      <c r="F250" s="1">
        <v>0.115</v>
      </c>
      <c r="G250" s="1">
        <v>15.69</v>
      </c>
      <c r="H250" s="1">
        <v>22.727</v>
      </c>
      <c r="I250" s="1">
        <v>3.5000000000000003E-2</v>
      </c>
    </row>
    <row r="251" spans="1:9">
      <c r="A251" s="3" t="s">
        <v>1276</v>
      </c>
      <c r="B251" s="3" t="s">
        <v>16</v>
      </c>
      <c r="C251" s="3">
        <v>166</v>
      </c>
      <c r="D251" s="3">
        <v>33</v>
      </c>
      <c r="E251" s="3" t="s">
        <v>22</v>
      </c>
      <c r="F251" s="3">
        <v>-6.0000000000000001E-3</v>
      </c>
      <c r="G251" s="3">
        <v>7.5309999999999997</v>
      </c>
      <c r="H251" s="3">
        <v>80.12</v>
      </c>
      <c r="I251" s="3">
        <v>3.5000000000000003E-2</v>
      </c>
    </row>
    <row r="252" spans="1:9">
      <c r="A252" s="1" t="s">
        <v>1277</v>
      </c>
      <c r="B252" s="1" t="s">
        <v>14</v>
      </c>
      <c r="C252" s="1">
        <v>581</v>
      </c>
      <c r="D252" s="1">
        <v>132</v>
      </c>
      <c r="E252" s="1" t="s">
        <v>15</v>
      </c>
      <c r="F252" s="1">
        <v>-0.03</v>
      </c>
      <c r="G252" s="1">
        <v>27.614999999999998</v>
      </c>
      <c r="H252" s="1">
        <v>22.719000000000001</v>
      </c>
      <c r="I252" s="1">
        <v>3.4000000000000002E-2</v>
      </c>
    </row>
    <row r="253" spans="1:9">
      <c r="A253" s="1" t="s">
        <v>1278</v>
      </c>
      <c r="B253" s="1" t="s">
        <v>14</v>
      </c>
      <c r="C253" s="1">
        <v>234</v>
      </c>
      <c r="D253" s="1">
        <v>53</v>
      </c>
      <c r="E253" s="1" t="s">
        <v>15</v>
      </c>
      <c r="F253" s="1">
        <v>9.0999999999999998E-2</v>
      </c>
      <c r="G253" s="1">
        <v>11.087999999999999</v>
      </c>
      <c r="H253" s="1">
        <v>22.65</v>
      </c>
      <c r="I253" s="1">
        <v>3.3000000000000002E-2</v>
      </c>
    </row>
    <row r="254" spans="1:9">
      <c r="A254" s="1" t="s">
        <v>1279</v>
      </c>
      <c r="B254" s="1" t="s">
        <v>14</v>
      </c>
      <c r="C254" s="1">
        <v>351</v>
      </c>
      <c r="D254" s="1">
        <v>79</v>
      </c>
      <c r="E254" s="1" t="s">
        <v>15</v>
      </c>
      <c r="F254" s="1">
        <v>-3.6999999999999998E-2</v>
      </c>
      <c r="G254" s="1">
        <v>16.527000000000001</v>
      </c>
      <c r="H254" s="1">
        <v>22.507000000000001</v>
      </c>
      <c r="I254" s="1">
        <v>2.9000000000000001E-2</v>
      </c>
    </row>
    <row r="255" spans="1:9">
      <c r="A255" s="1" t="s">
        <v>1280</v>
      </c>
      <c r="B255" s="1" t="s">
        <v>16</v>
      </c>
      <c r="C255" s="1">
        <v>89</v>
      </c>
      <c r="D255" s="1">
        <v>20</v>
      </c>
      <c r="E255" s="1" t="s">
        <v>15</v>
      </c>
      <c r="F255" s="1">
        <v>2.3E-2</v>
      </c>
      <c r="G255" s="1">
        <v>4.1840000000000002</v>
      </c>
      <c r="H255" s="1">
        <v>22.472000000000001</v>
      </c>
      <c r="I255" s="1">
        <v>2.8000000000000001E-2</v>
      </c>
    </row>
    <row r="256" spans="1:9">
      <c r="A256" s="3" t="s">
        <v>1281</v>
      </c>
      <c r="B256" s="3" t="s">
        <v>14</v>
      </c>
      <c r="C256" s="3">
        <v>119</v>
      </c>
      <c r="D256" s="3">
        <v>24</v>
      </c>
      <c r="E256" s="3" t="s">
        <v>22</v>
      </c>
      <c r="F256" s="3">
        <v>3.2000000000000001E-2</v>
      </c>
      <c r="G256" s="3">
        <v>5.3789999999999996</v>
      </c>
      <c r="H256" s="3">
        <v>79.831999999999994</v>
      </c>
      <c r="I256" s="3">
        <v>2.8000000000000001E-2</v>
      </c>
    </row>
    <row r="257" spans="1:9">
      <c r="A257" s="1" t="s">
        <v>1282</v>
      </c>
      <c r="B257" s="1" t="s">
        <v>14</v>
      </c>
      <c r="C257" s="1">
        <v>397</v>
      </c>
      <c r="D257" s="1">
        <v>89</v>
      </c>
      <c r="E257" s="1" t="s">
        <v>15</v>
      </c>
      <c r="F257" s="1">
        <v>4.8000000000000001E-2</v>
      </c>
      <c r="G257" s="1">
        <v>18.619</v>
      </c>
      <c r="H257" s="1">
        <v>22.417999999999999</v>
      </c>
      <c r="I257" s="1">
        <v>2.7E-2</v>
      </c>
    </row>
    <row r="258" spans="1:9">
      <c r="A258" s="3" t="s">
        <v>43</v>
      </c>
      <c r="B258" s="3" t="s">
        <v>14</v>
      </c>
      <c r="C258" s="3">
        <v>539</v>
      </c>
      <c r="D258" s="3">
        <v>109</v>
      </c>
      <c r="E258" s="3" t="s">
        <v>22</v>
      </c>
      <c r="F258" s="3">
        <v>-0.23</v>
      </c>
      <c r="G258" s="3">
        <v>24.349</v>
      </c>
      <c r="H258" s="3">
        <v>79.777000000000001</v>
      </c>
      <c r="I258" s="3">
        <v>2.7E-2</v>
      </c>
    </row>
    <row r="259" spans="1:9">
      <c r="A259" s="3" t="s">
        <v>1283</v>
      </c>
      <c r="B259" s="3" t="s">
        <v>14</v>
      </c>
      <c r="C259" s="3">
        <v>1277</v>
      </c>
      <c r="D259" s="3">
        <v>259</v>
      </c>
      <c r="E259" s="3" t="s">
        <v>22</v>
      </c>
      <c r="F259" s="3">
        <v>-1E-3</v>
      </c>
      <c r="G259" s="3">
        <v>57.643999999999998</v>
      </c>
      <c r="H259" s="3">
        <v>79.718000000000004</v>
      </c>
      <c r="I259" s="3">
        <v>2.5000000000000001E-2</v>
      </c>
    </row>
    <row r="260" spans="1:9">
      <c r="A260" s="3" t="s">
        <v>1284</v>
      </c>
      <c r="B260" s="3" t="s">
        <v>14</v>
      </c>
      <c r="C260" s="3">
        <v>320</v>
      </c>
      <c r="D260" s="3">
        <v>65</v>
      </c>
      <c r="E260" s="3" t="s">
        <v>22</v>
      </c>
      <c r="F260" s="3">
        <v>0.125</v>
      </c>
      <c r="G260" s="3">
        <v>14.439</v>
      </c>
      <c r="H260" s="3">
        <v>79.688000000000002</v>
      </c>
      <c r="I260" s="3">
        <v>2.4E-2</v>
      </c>
    </row>
    <row r="261" spans="1:9">
      <c r="A261" s="3" t="s">
        <v>1285</v>
      </c>
      <c r="B261" s="3" t="s">
        <v>14</v>
      </c>
      <c r="C261" s="3">
        <v>177</v>
      </c>
      <c r="D261" s="3">
        <v>36</v>
      </c>
      <c r="E261" s="3" t="s">
        <v>22</v>
      </c>
      <c r="F261" s="3">
        <v>-1.4999999999999999E-2</v>
      </c>
      <c r="G261" s="3">
        <v>7.984</v>
      </c>
      <c r="H261" s="3">
        <v>79.661000000000001</v>
      </c>
      <c r="I261" s="3">
        <v>2.4E-2</v>
      </c>
    </row>
    <row r="262" spans="1:9">
      <c r="A262" s="3" t="s">
        <v>1286</v>
      </c>
      <c r="B262" s="3" t="s">
        <v>14</v>
      </c>
      <c r="C262" s="3">
        <v>177</v>
      </c>
      <c r="D262" s="3">
        <v>36</v>
      </c>
      <c r="E262" s="3" t="s">
        <v>22</v>
      </c>
      <c r="F262" s="3">
        <v>-0.34</v>
      </c>
      <c r="G262" s="3">
        <v>7.984</v>
      </c>
      <c r="H262" s="3">
        <v>79.661000000000001</v>
      </c>
      <c r="I262" s="3">
        <v>2.4E-2</v>
      </c>
    </row>
    <row r="263" spans="1:9">
      <c r="A263" s="3" t="s">
        <v>1287</v>
      </c>
      <c r="B263" s="3" t="s">
        <v>14</v>
      </c>
      <c r="C263" s="3">
        <v>1555</v>
      </c>
      <c r="D263" s="3">
        <v>317</v>
      </c>
      <c r="E263" s="3" t="s">
        <v>22</v>
      </c>
      <c r="F263" s="3">
        <v>-0.02</v>
      </c>
      <c r="G263" s="3">
        <v>70.102000000000004</v>
      </c>
      <c r="H263" s="3">
        <v>79.614000000000004</v>
      </c>
      <c r="I263" s="3">
        <v>2.1999999999999999E-2</v>
      </c>
    </row>
    <row r="264" spans="1:9">
      <c r="A264" s="3" t="s">
        <v>1054</v>
      </c>
      <c r="B264" s="3" t="s">
        <v>16</v>
      </c>
      <c r="C264" s="3">
        <v>559</v>
      </c>
      <c r="D264" s="3">
        <v>114</v>
      </c>
      <c r="E264" s="3" t="s">
        <v>22</v>
      </c>
      <c r="F264" s="3">
        <v>8.0000000000000002E-3</v>
      </c>
      <c r="G264" s="3">
        <v>25.198</v>
      </c>
      <c r="H264" s="3">
        <v>79.605999999999995</v>
      </c>
      <c r="I264" s="3">
        <v>2.1999999999999999E-2</v>
      </c>
    </row>
    <row r="265" spans="1:9">
      <c r="A265" s="1" t="s">
        <v>1288</v>
      </c>
      <c r="B265" s="1" t="s">
        <v>14</v>
      </c>
      <c r="C265" s="1">
        <v>275</v>
      </c>
      <c r="D265" s="1">
        <v>61</v>
      </c>
      <c r="E265" s="1" t="s">
        <v>15</v>
      </c>
      <c r="F265" s="1">
        <v>2.8000000000000001E-2</v>
      </c>
      <c r="G265" s="1">
        <v>12.762</v>
      </c>
      <c r="H265" s="1">
        <v>22.181999999999999</v>
      </c>
      <c r="I265" s="1">
        <v>2.1000000000000001E-2</v>
      </c>
    </row>
    <row r="266" spans="1:9">
      <c r="A266" s="1" t="s">
        <v>1289</v>
      </c>
      <c r="B266" s="1" t="s">
        <v>14</v>
      </c>
      <c r="C266" s="1">
        <v>358</v>
      </c>
      <c r="D266" s="1">
        <v>79</v>
      </c>
      <c r="E266" s="1" t="s">
        <v>15</v>
      </c>
      <c r="F266" s="1">
        <v>6.7000000000000004E-2</v>
      </c>
      <c r="G266" s="1">
        <v>16.527000000000001</v>
      </c>
      <c r="H266" s="1">
        <v>22.067</v>
      </c>
      <c r="I266" s="1">
        <v>1.9E-2</v>
      </c>
    </row>
    <row r="267" spans="1:9">
      <c r="A267" s="3" t="s">
        <v>38</v>
      </c>
      <c r="B267" s="3" t="s">
        <v>14</v>
      </c>
      <c r="C267" s="3">
        <v>1668</v>
      </c>
      <c r="D267" s="3">
        <v>344</v>
      </c>
      <c r="E267" s="3" t="s">
        <v>22</v>
      </c>
      <c r="F267" s="3">
        <v>-2.3E-2</v>
      </c>
      <c r="G267" s="3">
        <v>74.971999999999994</v>
      </c>
      <c r="H267" s="3">
        <v>79.376000000000005</v>
      </c>
      <c r="I267" s="3">
        <v>1.7000000000000001E-2</v>
      </c>
    </row>
    <row r="268" spans="1:9">
      <c r="A268" s="1" t="s">
        <v>1290</v>
      </c>
      <c r="B268" s="1" t="s">
        <v>14</v>
      </c>
      <c r="C268" s="1">
        <v>1353</v>
      </c>
      <c r="D268" s="1">
        <v>297</v>
      </c>
      <c r="E268" s="1" t="s">
        <v>15</v>
      </c>
      <c r="F268" s="1">
        <v>0.29599999999999999</v>
      </c>
      <c r="G268" s="1">
        <v>62.134</v>
      </c>
      <c r="H268" s="1">
        <v>21.951000000000001</v>
      </c>
      <c r="I268" s="1">
        <v>1.6E-2</v>
      </c>
    </row>
    <row r="269" spans="1:9">
      <c r="A269" s="3" t="s">
        <v>1291</v>
      </c>
      <c r="B269" s="3" t="s">
        <v>16</v>
      </c>
      <c r="C269" s="3">
        <v>412</v>
      </c>
      <c r="D269" s="3">
        <v>85</v>
      </c>
      <c r="E269" s="3" t="s">
        <v>22</v>
      </c>
      <c r="F269" s="3">
        <v>0.122</v>
      </c>
      <c r="G269" s="3">
        <v>18.515999999999998</v>
      </c>
      <c r="H269" s="3">
        <v>79.369</v>
      </c>
      <c r="I269" s="3">
        <v>1.6E-2</v>
      </c>
    </row>
    <row r="270" spans="1:9">
      <c r="A270" s="3" t="s">
        <v>25</v>
      </c>
      <c r="B270" s="3" t="s">
        <v>14</v>
      </c>
      <c r="C270" s="3">
        <v>2092</v>
      </c>
      <c r="D270" s="3">
        <v>432</v>
      </c>
      <c r="E270" s="3" t="s">
        <v>22</v>
      </c>
      <c r="F270" s="3">
        <v>-6.2E-2</v>
      </c>
      <c r="G270" s="3">
        <v>93.998000000000005</v>
      </c>
      <c r="H270" s="3">
        <v>79.349999999999994</v>
      </c>
      <c r="I270" s="3">
        <v>1.6E-2</v>
      </c>
    </row>
    <row r="271" spans="1:9">
      <c r="A271" s="3" t="s">
        <v>1059</v>
      </c>
      <c r="B271" s="3" t="s">
        <v>14</v>
      </c>
      <c r="C271" s="3">
        <v>1610</v>
      </c>
      <c r="D271" s="3">
        <v>334</v>
      </c>
      <c r="E271" s="3" t="s">
        <v>22</v>
      </c>
      <c r="F271" s="3">
        <v>-6.0000000000000001E-3</v>
      </c>
      <c r="G271" s="3">
        <v>72.254000000000005</v>
      </c>
      <c r="H271" s="3">
        <v>79.254999999999995</v>
      </c>
      <c r="I271" s="3">
        <v>1.4E-2</v>
      </c>
    </row>
    <row r="272" spans="1:9">
      <c r="A272" s="3" t="s">
        <v>1292</v>
      </c>
      <c r="B272" s="3" t="s">
        <v>14</v>
      </c>
      <c r="C272" s="3">
        <v>173</v>
      </c>
      <c r="D272" s="3">
        <v>36</v>
      </c>
      <c r="E272" s="3" t="s">
        <v>22</v>
      </c>
      <c r="F272" s="3">
        <v>7.1999999999999995E-2</v>
      </c>
      <c r="G272" s="3">
        <v>7.758</v>
      </c>
      <c r="H272" s="3">
        <v>79.191000000000003</v>
      </c>
      <c r="I272" s="3">
        <v>1.2E-2</v>
      </c>
    </row>
    <row r="273" spans="1:9">
      <c r="A273" s="3" t="s">
        <v>36</v>
      </c>
      <c r="B273" s="3" t="s">
        <v>16</v>
      </c>
      <c r="C273" s="3">
        <v>120</v>
      </c>
      <c r="D273" s="3">
        <v>25</v>
      </c>
      <c r="E273" s="3" t="s">
        <v>22</v>
      </c>
      <c r="F273" s="3">
        <v>-0.314</v>
      </c>
      <c r="G273" s="3">
        <v>5.3789999999999996</v>
      </c>
      <c r="H273" s="3">
        <v>79.167000000000002</v>
      </c>
      <c r="I273" s="3">
        <v>1.0999999999999999E-2</v>
      </c>
    </row>
    <row r="274" spans="1:9">
      <c r="A274" s="1" t="s">
        <v>1060</v>
      </c>
      <c r="B274" s="1" t="s">
        <v>14</v>
      </c>
      <c r="C274" s="1">
        <v>1364</v>
      </c>
      <c r="D274" s="1">
        <v>296</v>
      </c>
      <c r="E274" s="1" t="s">
        <v>15</v>
      </c>
      <c r="F274" s="1">
        <v>0.06</v>
      </c>
      <c r="G274" s="1">
        <v>61.924999999999997</v>
      </c>
      <c r="H274" s="1">
        <v>21.701000000000001</v>
      </c>
      <c r="I274" s="1">
        <v>0.01</v>
      </c>
    </row>
    <row r="275" spans="1:9">
      <c r="A275" s="1" t="s">
        <v>1293</v>
      </c>
      <c r="B275" s="1" t="s">
        <v>14</v>
      </c>
      <c r="C275" s="1">
        <v>1332</v>
      </c>
      <c r="D275" s="1">
        <v>289</v>
      </c>
      <c r="E275" s="1" t="s">
        <v>15</v>
      </c>
      <c r="F275" s="1">
        <v>5.1999999999999998E-2</v>
      </c>
      <c r="G275" s="1">
        <v>60.46</v>
      </c>
      <c r="H275" s="1">
        <v>21.696999999999999</v>
      </c>
      <c r="I275" s="1">
        <v>0.01</v>
      </c>
    </row>
    <row r="276" spans="1:9">
      <c r="A276" s="3" t="s">
        <v>1294</v>
      </c>
      <c r="B276" s="3" t="s">
        <v>14</v>
      </c>
      <c r="C276" s="3">
        <v>91</v>
      </c>
      <c r="D276" s="3">
        <v>19</v>
      </c>
      <c r="E276" s="3" t="s">
        <v>22</v>
      </c>
      <c r="F276" s="3">
        <v>-0.28100000000000003</v>
      </c>
      <c r="G276" s="3">
        <v>4.077</v>
      </c>
      <c r="H276" s="3">
        <v>79.120999999999995</v>
      </c>
      <c r="I276" s="3">
        <v>0.01</v>
      </c>
    </row>
    <row r="277" spans="1:9">
      <c r="A277" s="3" t="s">
        <v>1295</v>
      </c>
      <c r="B277" s="3" t="s">
        <v>14</v>
      </c>
      <c r="C277" s="3">
        <v>292</v>
      </c>
      <c r="D277" s="3">
        <v>61</v>
      </c>
      <c r="E277" s="3" t="s">
        <v>22</v>
      </c>
      <c r="F277" s="3">
        <v>-1.4999999999999999E-2</v>
      </c>
      <c r="G277" s="3">
        <v>13.08</v>
      </c>
      <c r="H277" s="3">
        <v>79.11</v>
      </c>
      <c r="I277" s="3">
        <v>0.01</v>
      </c>
    </row>
    <row r="278" spans="1:9">
      <c r="A278" s="1" t="s">
        <v>1296</v>
      </c>
      <c r="B278" s="1" t="s">
        <v>14</v>
      </c>
      <c r="C278" s="1">
        <v>185</v>
      </c>
      <c r="D278" s="1">
        <v>40</v>
      </c>
      <c r="E278" s="1" t="s">
        <v>15</v>
      </c>
      <c r="F278" s="1">
        <v>0.379</v>
      </c>
      <c r="G278" s="1">
        <v>8.3680000000000003</v>
      </c>
      <c r="H278" s="1">
        <v>21.622</v>
      </c>
      <c r="I278" s="1">
        <v>8.0000000000000002E-3</v>
      </c>
    </row>
    <row r="279" spans="1:9">
      <c r="A279" s="3" t="s">
        <v>1297</v>
      </c>
      <c r="B279" s="3" t="s">
        <v>14</v>
      </c>
      <c r="C279" s="3">
        <v>205</v>
      </c>
      <c r="D279" s="3">
        <v>43</v>
      </c>
      <c r="E279" s="3" t="s">
        <v>22</v>
      </c>
      <c r="F279" s="3">
        <v>4.2999999999999997E-2</v>
      </c>
      <c r="G279" s="3">
        <v>9.173</v>
      </c>
      <c r="H279" s="3">
        <v>79.024000000000001</v>
      </c>
      <c r="I279" s="3">
        <v>8.0000000000000002E-3</v>
      </c>
    </row>
    <row r="280" spans="1:9">
      <c r="A280" s="1" t="s">
        <v>1298</v>
      </c>
      <c r="B280" s="1" t="s">
        <v>14</v>
      </c>
      <c r="C280" s="1">
        <v>491</v>
      </c>
      <c r="D280" s="1">
        <v>106</v>
      </c>
      <c r="E280" s="1" t="s">
        <v>15</v>
      </c>
      <c r="F280" s="1">
        <v>0.02</v>
      </c>
      <c r="G280" s="1">
        <v>22.175999999999998</v>
      </c>
      <c r="H280" s="1">
        <v>21.588999999999999</v>
      </c>
      <c r="I280" s="1">
        <v>7.0000000000000001E-3</v>
      </c>
    </row>
    <row r="281" spans="1:9">
      <c r="A281" s="1" t="s">
        <v>1063</v>
      </c>
      <c r="B281" s="1" t="s">
        <v>14</v>
      </c>
      <c r="C281" s="1">
        <v>334</v>
      </c>
      <c r="D281" s="1">
        <v>72</v>
      </c>
      <c r="E281" s="1" t="s">
        <v>15</v>
      </c>
      <c r="F281" s="1">
        <v>-0.26500000000000001</v>
      </c>
      <c r="G281" s="1">
        <v>15.063000000000001</v>
      </c>
      <c r="H281" s="1">
        <v>21.556999999999999</v>
      </c>
      <c r="I281" s="1">
        <v>6.0000000000000001E-3</v>
      </c>
    </row>
    <row r="282" spans="1:9">
      <c r="A282" s="3" t="s">
        <v>1299</v>
      </c>
      <c r="B282" s="3" t="s">
        <v>14</v>
      </c>
      <c r="C282" s="3">
        <v>152</v>
      </c>
      <c r="D282" s="3">
        <v>32</v>
      </c>
      <c r="E282" s="3" t="s">
        <v>22</v>
      </c>
      <c r="F282" s="3">
        <v>-0.255</v>
      </c>
      <c r="G282" s="3">
        <v>6.7949999999999999</v>
      </c>
      <c r="H282" s="3">
        <v>78.947000000000003</v>
      </c>
      <c r="I282" s="3">
        <v>6.0000000000000001E-3</v>
      </c>
    </row>
    <row r="283" spans="1:9">
      <c r="A283" s="1" t="s">
        <v>1300</v>
      </c>
      <c r="B283" s="1" t="s">
        <v>14</v>
      </c>
      <c r="C283" s="1">
        <v>633</v>
      </c>
      <c r="D283" s="1">
        <v>136</v>
      </c>
      <c r="E283" s="1" t="s">
        <v>15</v>
      </c>
      <c r="F283" s="1">
        <v>-5.6000000000000001E-2</v>
      </c>
      <c r="G283" s="1">
        <v>28.452000000000002</v>
      </c>
      <c r="H283" s="1">
        <v>21.484999999999999</v>
      </c>
      <c r="I283" s="1">
        <v>4.0000000000000001E-3</v>
      </c>
    </row>
    <row r="284" spans="1:9">
      <c r="A284" s="3" t="s">
        <v>1301</v>
      </c>
      <c r="B284" s="3" t="s">
        <v>14</v>
      </c>
      <c r="C284" s="3">
        <v>989</v>
      </c>
      <c r="D284" s="3">
        <v>209</v>
      </c>
      <c r="E284" s="3" t="s">
        <v>22</v>
      </c>
      <c r="F284" s="3">
        <v>-5.8000000000000003E-2</v>
      </c>
      <c r="G284" s="3">
        <v>44.167999999999999</v>
      </c>
      <c r="H284" s="3">
        <v>78.867999999999995</v>
      </c>
      <c r="I284" s="3">
        <v>4.0000000000000001E-3</v>
      </c>
    </row>
    <row r="285" spans="1:9">
      <c r="A285" s="3" t="s">
        <v>1302</v>
      </c>
      <c r="B285" s="3" t="s">
        <v>14</v>
      </c>
      <c r="C285" s="3">
        <v>1017</v>
      </c>
      <c r="D285" s="3">
        <v>215</v>
      </c>
      <c r="E285" s="3" t="s">
        <v>22</v>
      </c>
      <c r="F285" s="3">
        <v>-2.5999999999999999E-2</v>
      </c>
      <c r="G285" s="3">
        <v>45.412999999999997</v>
      </c>
      <c r="H285" s="3">
        <v>78.858999999999995</v>
      </c>
      <c r="I285" s="3">
        <v>4.0000000000000001E-3</v>
      </c>
    </row>
    <row r="286" spans="1:9">
      <c r="A286" s="3" t="s">
        <v>1303</v>
      </c>
      <c r="B286" s="3" t="s">
        <v>14</v>
      </c>
      <c r="C286" s="3">
        <v>227</v>
      </c>
      <c r="D286" s="3">
        <v>48</v>
      </c>
      <c r="E286" s="3" t="s">
        <v>22</v>
      </c>
      <c r="F286" s="3">
        <v>-5.7000000000000002E-2</v>
      </c>
      <c r="G286" s="3">
        <v>10.135999999999999</v>
      </c>
      <c r="H286" s="3">
        <v>78.855000000000004</v>
      </c>
      <c r="I286" s="3">
        <v>4.0000000000000001E-3</v>
      </c>
    </row>
    <row r="287" spans="1:9">
      <c r="A287" s="1" t="s">
        <v>1304</v>
      </c>
      <c r="B287" s="1" t="s">
        <v>14</v>
      </c>
      <c r="C287" s="1">
        <v>1048</v>
      </c>
      <c r="D287" s="1">
        <v>224</v>
      </c>
      <c r="E287" s="1" t="s">
        <v>15</v>
      </c>
      <c r="F287" s="1">
        <v>-2.5000000000000001E-2</v>
      </c>
      <c r="G287" s="1">
        <v>46.862000000000002</v>
      </c>
      <c r="H287" s="1">
        <v>21.373999999999999</v>
      </c>
      <c r="I287" s="1">
        <v>2E-3</v>
      </c>
    </row>
  </sheetData>
  <autoFilter ref="A8:I8" xr:uid="{78F7C83F-B089-2D48-B779-0896C6277802}"/>
  <mergeCells count="1">
    <mergeCell ref="A1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E25D7-A034-9A42-AE7A-FFB25CB76036}">
  <dimension ref="A1:A478"/>
  <sheetViews>
    <sheetView workbookViewId="0">
      <selection sqref="A1:A479"/>
    </sheetView>
  </sheetViews>
  <sheetFormatPr baseColWidth="10" defaultRowHeight="16"/>
  <sheetData>
    <row r="1" spans="1:1">
      <c r="A1" t="s">
        <v>1306</v>
      </c>
    </row>
    <row r="2" spans="1:1">
      <c r="A2" t="s">
        <v>1307</v>
      </c>
    </row>
    <row r="3" spans="1:1">
      <c r="A3" t="s">
        <v>1308</v>
      </c>
    </row>
    <row r="4" spans="1:1">
      <c r="A4" t="s">
        <v>1309</v>
      </c>
    </row>
    <row r="5" spans="1:1">
      <c r="A5" t="s">
        <v>1310</v>
      </c>
    </row>
    <row r="6" spans="1:1">
      <c r="A6" t="s">
        <v>1311</v>
      </c>
    </row>
    <row r="7" spans="1:1">
      <c r="A7" t="s">
        <v>1312</v>
      </c>
    </row>
    <row r="8" spans="1:1">
      <c r="A8" t="s">
        <v>1313</v>
      </c>
    </row>
    <row r="9" spans="1:1">
      <c r="A9" t="s">
        <v>1314</v>
      </c>
    </row>
    <row r="10" spans="1:1">
      <c r="A10" t="s">
        <v>1315</v>
      </c>
    </row>
    <row r="11" spans="1:1">
      <c r="A11" t="s">
        <v>1316</v>
      </c>
    </row>
    <row r="12" spans="1:1">
      <c r="A12" t="s">
        <v>1317</v>
      </c>
    </row>
    <row r="13" spans="1:1">
      <c r="A13" t="s">
        <v>1318</v>
      </c>
    </row>
    <row r="14" spans="1:1">
      <c r="A14" t="s">
        <v>1319</v>
      </c>
    </row>
    <row r="15" spans="1:1">
      <c r="A15" t="s">
        <v>1320</v>
      </c>
    </row>
    <row r="16" spans="1:1">
      <c r="A16" t="s">
        <v>1321</v>
      </c>
    </row>
    <row r="17" spans="1:1">
      <c r="A17" t="s">
        <v>1322</v>
      </c>
    </row>
    <row r="18" spans="1:1">
      <c r="A18" t="s">
        <v>1323</v>
      </c>
    </row>
    <row r="19" spans="1:1">
      <c r="A19" t="s">
        <v>1324</v>
      </c>
    </row>
    <row r="20" spans="1:1">
      <c r="A20" t="s">
        <v>1325</v>
      </c>
    </row>
    <row r="21" spans="1:1">
      <c r="A21" t="s">
        <v>1326</v>
      </c>
    </row>
    <row r="22" spans="1:1">
      <c r="A22" t="s">
        <v>1327</v>
      </c>
    </row>
    <row r="23" spans="1:1">
      <c r="A23" t="s">
        <v>1328</v>
      </c>
    </row>
    <row r="24" spans="1:1">
      <c r="A24" t="s">
        <v>1329</v>
      </c>
    </row>
    <row r="25" spans="1:1">
      <c r="A25" t="s">
        <v>1330</v>
      </c>
    </row>
    <row r="26" spans="1:1">
      <c r="A26" t="s">
        <v>1331</v>
      </c>
    </row>
    <row r="27" spans="1:1">
      <c r="A27" t="s">
        <v>1332</v>
      </c>
    </row>
    <row r="28" spans="1:1">
      <c r="A28" t="s">
        <v>1333</v>
      </c>
    </row>
    <row r="29" spans="1:1">
      <c r="A29" t="s">
        <v>1334</v>
      </c>
    </row>
    <row r="30" spans="1:1">
      <c r="A30" t="s">
        <v>1335</v>
      </c>
    </row>
    <row r="31" spans="1:1">
      <c r="A31" t="s">
        <v>1336</v>
      </c>
    </row>
    <row r="32" spans="1:1">
      <c r="A32" t="s">
        <v>1337</v>
      </c>
    </row>
    <row r="33" spans="1:1">
      <c r="A33" t="s">
        <v>1338</v>
      </c>
    </row>
    <row r="34" spans="1:1">
      <c r="A34" t="s">
        <v>1339</v>
      </c>
    </row>
    <row r="35" spans="1:1">
      <c r="A35" t="s">
        <v>1340</v>
      </c>
    </row>
    <row r="36" spans="1:1">
      <c r="A36" t="s">
        <v>1341</v>
      </c>
    </row>
    <row r="37" spans="1:1">
      <c r="A37" t="s">
        <v>1342</v>
      </c>
    </row>
    <row r="38" spans="1:1">
      <c r="A38" t="s">
        <v>1343</v>
      </c>
    </row>
    <row r="39" spans="1:1">
      <c r="A39" t="s">
        <v>1344</v>
      </c>
    </row>
    <row r="40" spans="1:1">
      <c r="A40" t="s">
        <v>1345</v>
      </c>
    </row>
    <row r="41" spans="1:1">
      <c r="A41" t="s">
        <v>1346</v>
      </c>
    </row>
    <row r="42" spans="1:1">
      <c r="A42" t="s">
        <v>1347</v>
      </c>
    </row>
    <row r="43" spans="1:1">
      <c r="A43" t="s">
        <v>1348</v>
      </c>
    </row>
    <row r="44" spans="1:1">
      <c r="A44" t="s">
        <v>1349</v>
      </c>
    </row>
    <row r="45" spans="1:1">
      <c r="A45" t="s">
        <v>1350</v>
      </c>
    </row>
    <row r="46" spans="1:1">
      <c r="A46" t="s">
        <v>1351</v>
      </c>
    </row>
    <row r="47" spans="1:1">
      <c r="A47" t="s">
        <v>1352</v>
      </c>
    </row>
    <row r="48" spans="1:1">
      <c r="A48" t="s">
        <v>1353</v>
      </c>
    </row>
    <row r="49" spans="1:1">
      <c r="A49" t="s">
        <v>1354</v>
      </c>
    </row>
    <row r="50" spans="1:1">
      <c r="A50" t="s">
        <v>1355</v>
      </c>
    </row>
    <row r="51" spans="1:1">
      <c r="A51" t="s">
        <v>1356</v>
      </c>
    </row>
    <row r="52" spans="1:1">
      <c r="A52" t="s">
        <v>1357</v>
      </c>
    </row>
    <row r="53" spans="1:1">
      <c r="A53" t="s">
        <v>1358</v>
      </c>
    </row>
    <row r="54" spans="1:1">
      <c r="A54" t="s">
        <v>1359</v>
      </c>
    </row>
    <row r="55" spans="1:1">
      <c r="A55" t="s">
        <v>1360</v>
      </c>
    </row>
    <row r="56" spans="1:1">
      <c r="A56" t="s">
        <v>1361</v>
      </c>
    </row>
    <row r="57" spans="1:1">
      <c r="A57" t="s">
        <v>1362</v>
      </c>
    </row>
    <row r="58" spans="1:1">
      <c r="A58" t="s">
        <v>1363</v>
      </c>
    </row>
    <row r="59" spans="1:1">
      <c r="A59" t="s">
        <v>1364</v>
      </c>
    </row>
    <row r="60" spans="1:1">
      <c r="A60" t="s">
        <v>1365</v>
      </c>
    </row>
    <row r="61" spans="1:1">
      <c r="A61" t="s">
        <v>1366</v>
      </c>
    </row>
    <row r="62" spans="1:1">
      <c r="A62" t="s">
        <v>1367</v>
      </c>
    </row>
    <row r="63" spans="1:1">
      <c r="A63" t="s">
        <v>1368</v>
      </c>
    </row>
    <row r="64" spans="1:1">
      <c r="A64" t="s">
        <v>1369</v>
      </c>
    </row>
    <row r="65" spans="1:1">
      <c r="A65" t="s">
        <v>1370</v>
      </c>
    </row>
    <row r="66" spans="1:1">
      <c r="A66" t="s">
        <v>1371</v>
      </c>
    </row>
    <row r="67" spans="1:1">
      <c r="A67" t="s">
        <v>1372</v>
      </c>
    </row>
    <row r="68" spans="1:1">
      <c r="A68" t="s">
        <v>1373</v>
      </c>
    </row>
    <row r="69" spans="1:1">
      <c r="A69" t="s">
        <v>1374</v>
      </c>
    </row>
    <row r="70" spans="1:1">
      <c r="A70" t="s">
        <v>1375</v>
      </c>
    </row>
    <row r="71" spans="1:1">
      <c r="A71" t="s">
        <v>1376</v>
      </c>
    </row>
    <row r="72" spans="1:1">
      <c r="A72" t="s">
        <v>1377</v>
      </c>
    </row>
    <row r="73" spans="1:1">
      <c r="A73" t="s">
        <v>1378</v>
      </c>
    </row>
    <row r="74" spans="1:1">
      <c r="A74" t="s">
        <v>1379</v>
      </c>
    </row>
    <row r="75" spans="1:1">
      <c r="A75" t="s">
        <v>1380</v>
      </c>
    </row>
    <row r="76" spans="1:1">
      <c r="A76" t="s">
        <v>1381</v>
      </c>
    </row>
    <row r="77" spans="1:1">
      <c r="A77" t="s">
        <v>1382</v>
      </c>
    </row>
    <row r="78" spans="1:1">
      <c r="A78" t="s">
        <v>1383</v>
      </c>
    </row>
    <row r="79" spans="1:1">
      <c r="A79" t="s">
        <v>1384</v>
      </c>
    </row>
    <row r="80" spans="1:1">
      <c r="A80" t="s">
        <v>1385</v>
      </c>
    </row>
    <row r="81" spans="1:1">
      <c r="A81" t="s">
        <v>1386</v>
      </c>
    </row>
    <row r="82" spans="1:1">
      <c r="A82" t="s">
        <v>1387</v>
      </c>
    </row>
    <row r="83" spans="1:1">
      <c r="A83" t="s">
        <v>1388</v>
      </c>
    </row>
    <row r="84" spans="1:1">
      <c r="A84" t="s">
        <v>1389</v>
      </c>
    </row>
    <row r="85" spans="1:1">
      <c r="A85" t="s">
        <v>1390</v>
      </c>
    </row>
    <row r="86" spans="1:1">
      <c r="A86" t="s">
        <v>1391</v>
      </c>
    </row>
    <row r="87" spans="1:1">
      <c r="A87" t="s">
        <v>1392</v>
      </c>
    </row>
    <row r="88" spans="1:1">
      <c r="A88" t="s">
        <v>1393</v>
      </c>
    </row>
    <row r="89" spans="1:1">
      <c r="A89" t="s">
        <v>1394</v>
      </c>
    </row>
    <row r="90" spans="1:1">
      <c r="A90" t="s">
        <v>1395</v>
      </c>
    </row>
    <row r="91" spans="1:1">
      <c r="A91" t="s">
        <v>1396</v>
      </c>
    </row>
    <row r="92" spans="1:1">
      <c r="A92" t="s">
        <v>1397</v>
      </c>
    </row>
    <row r="93" spans="1:1">
      <c r="A93" t="s">
        <v>1398</v>
      </c>
    </row>
    <row r="94" spans="1:1">
      <c r="A94" t="s">
        <v>1399</v>
      </c>
    </row>
    <row r="95" spans="1:1">
      <c r="A95" t="s">
        <v>1400</v>
      </c>
    </row>
    <row r="96" spans="1:1">
      <c r="A96" t="s">
        <v>1401</v>
      </c>
    </row>
    <row r="97" spans="1:1">
      <c r="A97" t="s">
        <v>1402</v>
      </c>
    </row>
    <row r="98" spans="1:1">
      <c r="A98" t="s">
        <v>1403</v>
      </c>
    </row>
    <row r="99" spans="1:1">
      <c r="A99" t="s">
        <v>1404</v>
      </c>
    </row>
    <row r="100" spans="1:1">
      <c r="A100" t="s">
        <v>1405</v>
      </c>
    </row>
    <row r="101" spans="1:1">
      <c r="A101" t="s">
        <v>1406</v>
      </c>
    </row>
    <row r="102" spans="1:1">
      <c r="A102" t="s">
        <v>1407</v>
      </c>
    </row>
    <row r="103" spans="1:1">
      <c r="A103" t="s">
        <v>1408</v>
      </c>
    </row>
    <row r="104" spans="1:1">
      <c r="A104" t="s">
        <v>1409</v>
      </c>
    </row>
    <row r="105" spans="1:1">
      <c r="A105" t="s">
        <v>1410</v>
      </c>
    </row>
    <row r="106" spans="1:1">
      <c r="A106" t="s">
        <v>1411</v>
      </c>
    </row>
    <row r="107" spans="1:1">
      <c r="A107" t="s">
        <v>1412</v>
      </c>
    </row>
    <row r="108" spans="1:1">
      <c r="A108" t="s">
        <v>1413</v>
      </c>
    </row>
    <row r="109" spans="1:1">
      <c r="A109" t="s">
        <v>1414</v>
      </c>
    </row>
    <row r="110" spans="1:1">
      <c r="A110" t="s">
        <v>1415</v>
      </c>
    </row>
    <row r="111" spans="1:1">
      <c r="A111" t="s">
        <v>1416</v>
      </c>
    </row>
    <row r="112" spans="1:1">
      <c r="A112" t="s">
        <v>1417</v>
      </c>
    </row>
    <row r="113" spans="1:1">
      <c r="A113" t="s">
        <v>1418</v>
      </c>
    </row>
    <row r="114" spans="1:1">
      <c r="A114" t="s">
        <v>1419</v>
      </c>
    </row>
    <row r="115" spans="1:1">
      <c r="A115" t="s">
        <v>1420</v>
      </c>
    </row>
    <row r="116" spans="1:1">
      <c r="A116" t="s">
        <v>1421</v>
      </c>
    </row>
    <row r="117" spans="1:1">
      <c r="A117" t="s">
        <v>1422</v>
      </c>
    </row>
    <row r="118" spans="1:1">
      <c r="A118" t="s">
        <v>1423</v>
      </c>
    </row>
    <row r="119" spans="1:1">
      <c r="A119" t="s">
        <v>1424</v>
      </c>
    </row>
    <row r="120" spans="1:1">
      <c r="A120" t="s">
        <v>1425</v>
      </c>
    </row>
    <row r="121" spans="1:1">
      <c r="A121" t="s">
        <v>1426</v>
      </c>
    </row>
    <row r="122" spans="1:1">
      <c r="A122" t="s">
        <v>1427</v>
      </c>
    </row>
    <row r="123" spans="1:1">
      <c r="A123" t="s">
        <v>1428</v>
      </c>
    </row>
    <row r="124" spans="1:1">
      <c r="A124" t="s">
        <v>1429</v>
      </c>
    </row>
    <row r="125" spans="1:1">
      <c r="A125" t="s">
        <v>1430</v>
      </c>
    </row>
    <row r="126" spans="1:1">
      <c r="A126" t="s">
        <v>1431</v>
      </c>
    </row>
    <row r="127" spans="1:1">
      <c r="A127" t="s">
        <v>1432</v>
      </c>
    </row>
    <row r="128" spans="1:1">
      <c r="A128" t="s">
        <v>1433</v>
      </c>
    </row>
    <row r="129" spans="1:1">
      <c r="A129" t="s">
        <v>1434</v>
      </c>
    </row>
    <row r="130" spans="1:1">
      <c r="A130" t="s">
        <v>1435</v>
      </c>
    </row>
    <row r="131" spans="1:1">
      <c r="A131" t="s">
        <v>1436</v>
      </c>
    </row>
    <row r="132" spans="1:1">
      <c r="A132" t="s">
        <v>1437</v>
      </c>
    </row>
    <row r="133" spans="1:1">
      <c r="A133" t="s">
        <v>1438</v>
      </c>
    </row>
    <row r="134" spans="1:1">
      <c r="A134" t="s">
        <v>1439</v>
      </c>
    </row>
    <row r="135" spans="1:1">
      <c r="A135" t="s">
        <v>1440</v>
      </c>
    </row>
    <row r="136" spans="1:1">
      <c r="A136" t="s">
        <v>1441</v>
      </c>
    </row>
    <row r="137" spans="1:1">
      <c r="A137" t="s">
        <v>1442</v>
      </c>
    </row>
    <row r="138" spans="1:1">
      <c r="A138" t="s">
        <v>1443</v>
      </c>
    </row>
    <row r="139" spans="1:1">
      <c r="A139" t="s">
        <v>1444</v>
      </c>
    </row>
    <row r="140" spans="1:1">
      <c r="A140" t="s">
        <v>1445</v>
      </c>
    </row>
    <row r="141" spans="1:1">
      <c r="A141" t="s">
        <v>1446</v>
      </c>
    </row>
    <row r="142" spans="1:1">
      <c r="A142" t="s">
        <v>1447</v>
      </c>
    </row>
    <row r="143" spans="1:1">
      <c r="A143" t="s">
        <v>1448</v>
      </c>
    </row>
    <row r="144" spans="1:1">
      <c r="A144" t="s">
        <v>1449</v>
      </c>
    </row>
    <row r="145" spans="1:1">
      <c r="A145" t="s">
        <v>1450</v>
      </c>
    </row>
    <row r="146" spans="1:1">
      <c r="A146" t="s">
        <v>1451</v>
      </c>
    </row>
    <row r="147" spans="1:1">
      <c r="A147" t="s">
        <v>1452</v>
      </c>
    </row>
    <row r="148" spans="1:1">
      <c r="A148" t="s">
        <v>1453</v>
      </c>
    </row>
    <row r="149" spans="1:1">
      <c r="A149" t="s">
        <v>1454</v>
      </c>
    </row>
    <row r="150" spans="1:1">
      <c r="A150" t="s">
        <v>1455</v>
      </c>
    </row>
    <row r="151" spans="1:1">
      <c r="A151" t="s">
        <v>1456</v>
      </c>
    </row>
    <row r="152" spans="1:1">
      <c r="A152" t="s">
        <v>1457</v>
      </c>
    </row>
    <row r="153" spans="1:1">
      <c r="A153" t="s">
        <v>1458</v>
      </c>
    </row>
    <row r="154" spans="1:1">
      <c r="A154" t="s">
        <v>1459</v>
      </c>
    </row>
    <row r="155" spans="1:1">
      <c r="A155" t="s">
        <v>1460</v>
      </c>
    </row>
    <row r="156" spans="1:1">
      <c r="A156" t="s">
        <v>1461</v>
      </c>
    </row>
    <row r="157" spans="1:1">
      <c r="A157" t="s">
        <v>1462</v>
      </c>
    </row>
    <row r="158" spans="1:1">
      <c r="A158" t="s">
        <v>1463</v>
      </c>
    </row>
    <row r="159" spans="1:1">
      <c r="A159" t="s">
        <v>1464</v>
      </c>
    </row>
    <row r="160" spans="1:1">
      <c r="A160" t="s">
        <v>1465</v>
      </c>
    </row>
    <row r="161" spans="1:1">
      <c r="A161" t="s">
        <v>1466</v>
      </c>
    </row>
    <row r="162" spans="1:1">
      <c r="A162" t="s">
        <v>1467</v>
      </c>
    </row>
    <row r="163" spans="1:1">
      <c r="A163" t="s">
        <v>1468</v>
      </c>
    </row>
    <row r="164" spans="1:1">
      <c r="A164" t="s">
        <v>1469</v>
      </c>
    </row>
    <row r="165" spans="1:1">
      <c r="A165" t="s">
        <v>1470</v>
      </c>
    </row>
    <row r="166" spans="1:1">
      <c r="A166" t="s">
        <v>1471</v>
      </c>
    </row>
    <row r="167" spans="1:1">
      <c r="A167" t="s">
        <v>1472</v>
      </c>
    </row>
    <row r="168" spans="1:1">
      <c r="A168" t="s">
        <v>1473</v>
      </c>
    </row>
    <row r="169" spans="1:1">
      <c r="A169" t="s">
        <v>1474</v>
      </c>
    </row>
    <row r="170" spans="1:1">
      <c r="A170" t="s">
        <v>1475</v>
      </c>
    </row>
    <row r="171" spans="1:1">
      <c r="A171" t="s">
        <v>1476</v>
      </c>
    </row>
    <row r="172" spans="1:1">
      <c r="A172" t="s">
        <v>1477</v>
      </c>
    </row>
    <row r="173" spans="1:1">
      <c r="A173" t="s">
        <v>1478</v>
      </c>
    </row>
    <row r="174" spans="1:1">
      <c r="A174" t="s">
        <v>1479</v>
      </c>
    </row>
    <row r="175" spans="1:1">
      <c r="A175" t="s">
        <v>1480</v>
      </c>
    </row>
    <row r="176" spans="1:1">
      <c r="A176" t="s">
        <v>1481</v>
      </c>
    </row>
    <row r="177" spans="1:1">
      <c r="A177" t="s">
        <v>1482</v>
      </c>
    </row>
    <row r="178" spans="1:1">
      <c r="A178" t="s">
        <v>1483</v>
      </c>
    </row>
    <row r="179" spans="1:1">
      <c r="A179" t="s">
        <v>1484</v>
      </c>
    </row>
    <row r="180" spans="1:1">
      <c r="A180" t="s">
        <v>1485</v>
      </c>
    </row>
    <row r="181" spans="1:1">
      <c r="A181" t="s">
        <v>1486</v>
      </c>
    </row>
    <row r="182" spans="1:1">
      <c r="A182" t="s">
        <v>1487</v>
      </c>
    </row>
    <row r="183" spans="1:1">
      <c r="A183" t="s">
        <v>1488</v>
      </c>
    </row>
    <row r="184" spans="1:1">
      <c r="A184" t="s">
        <v>1489</v>
      </c>
    </row>
    <row r="185" spans="1:1">
      <c r="A185" t="s">
        <v>1490</v>
      </c>
    </row>
    <row r="186" spans="1:1">
      <c r="A186" t="s">
        <v>1491</v>
      </c>
    </row>
    <row r="187" spans="1:1">
      <c r="A187" t="s">
        <v>1492</v>
      </c>
    </row>
    <row r="188" spans="1:1">
      <c r="A188" t="s">
        <v>1493</v>
      </c>
    </row>
    <row r="189" spans="1:1">
      <c r="A189" t="s">
        <v>1494</v>
      </c>
    </row>
    <row r="190" spans="1:1">
      <c r="A190" t="s">
        <v>1495</v>
      </c>
    </row>
    <row r="191" spans="1:1">
      <c r="A191" t="s">
        <v>1496</v>
      </c>
    </row>
    <row r="192" spans="1:1">
      <c r="A192" t="s">
        <v>1497</v>
      </c>
    </row>
    <row r="193" spans="1:1">
      <c r="A193" t="s">
        <v>1498</v>
      </c>
    </row>
    <row r="194" spans="1:1">
      <c r="A194" t="s">
        <v>1499</v>
      </c>
    </row>
    <row r="195" spans="1:1">
      <c r="A195" t="s">
        <v>1500</v>
      </c>
    </row>
    <row r="196" spans="1:1">
      <c r="A196" t="s">
        <v>1501</v>
      </c>
    </row>
    <row r="197" spans="1:1">
      <c r="A197" t="s">
        <v>1502</v>
      </c>
    </row>
    <row r="198" spans="1:1">
      <c r="A198" t="s">
        <v>1503</v>
      </c>
    </row>
    <row r="199" spans="1:1">
      <c r="A199" t="s">
        <v>1504</v>
      </c>
    </row>
    <row r="200" spans="1:1">
      <c r="A200" t="s">
        <v>1505</v>
      </c>
    </row>
    <row r="201" spans="1:1">
      <c r="A201" t="s">
        <v>1506</v>
      </c>
    </row>
    <row r="202" spans="1:1">
      <c r="A202" t="s">
        <v>1507</v>
      </c>
    </row>
    <row r="203" spans="1:1">
      <c r="A203" t="s">
        <v>1508</v>
      </c>
    </row>
    <row r="204" spans="1:1">
      <c r="A204" t="s">
        <v>1509</v>
      </c>
    </row>
    <row r="205" spans="1:1">
      <c r="A205" t="s">
        <v>1510</v>
      </c>
    </row>
    <row r="206" spans="1:1">
      <c r="A206" t="s">
        <v>1511</v>
      </c>
    </row>
    <row r="207" spans="1:1">
      <c r="A207" t="s">
        <v>1512</v>
      </c>
    </row>
    <row r="208" spans="1:1">
      <c r="A208" t="s">
        <v>1513</v>
      </c>
    </row>
    <row r="209" spans="1:1">
      <c r="A209" t="s">
        <v>1514</v>
      </c>
    </row>
    <row r="210" spans="1:1">
      <c r="A210" t="s">
        <v>1515</v>
      </c>
    </row>
    <row r="211" spans="1:1">
      <c r="A211" t="s">
        <v>1516</v>
      </c>
    </row>
    <row r="212" spans="1:1">
      <c r="A212" t="s">
        <v>1517</v>
      </c>
    </row>
    <row r="213" spans="1:1">
      <c r="A213" t="s">
        <v>1518</v>
      </c>
    </row>
    <row r="214" spans="1:1">
      <c r="A214" t="s">
        <v>1519</v>
      </c>
    </row>
    <row r="215" spans="1:1">
      <c r="A215" t="s">
        <v>1520</v>
      </c>
    </row>
    <row r="216" spans="1:1">
      <c r="A216" t="s">
        <v>1521</v>
      </c>
    </row>
    <row r="217" spans="1:1">
      <c r="A217" t="s">
        <v>1522</v>
      </c>
    </row>
    <row r="218" spans="1:1">
      <c r="A218" t="s">
        <v>1523</v>
      </c>
    </row>
    <row r="219" spans="1:1">
      <c r="A219" t="s">
        <v>1524</v>
      </c>
    </row>
    <row r="220" spans="1:1">
      <c r="A220" t="s">
        <v>1525</v>
      </c>
    </row>
    <row r="221" spans="1:1">
      <c r="A221" t="s">
        <v>1526</v>
      </c>
    </row>
    <row r="222" spans="1:1">
      <c r="A222" t="s">
        <v>1527</v>
      </c>
    </row>
    <row r="223" spans="1:1">
      <c r="A223" t="s">
        <v>1528</v>
      </c>
    </row>
    <row r="224" spans="1:1">
      <c r="A224" t="s">
        <v>1529</v>
      </c>
    </row>
    <row r="225" spans="1:1">
      <c r="A225" t="s">
        <v>1530</v>
      </c>
    </row>
    <row r="226" spans="1:1">
      <c r="A226" t="s">
        <v>1531</v>
      </c>
    </row>
    <row r="227" spans="1:1">
      <c r="A227" t="s">
        <v>1532</v>
      </c>
    </row>
    <row r="228" spans="1:1">
      <c r="A228" t="s">
        <v>1533</v>
      </c>
    </row>
    <row r="229" spans="1:1">
      <c r="A229" t="s">
        <v>1534</v>
      </c>
    </row>
    <row r="230" spans="1:1">
      <c r="A230" t="s">
        <v>1535</v>
      </c>
    </row>
    <row r="231" spans="1:1">
      <c r="A231" t="s">
        <v>1536</v>
      </c>
    </row>
    <row r="232" spans="1:1">
      <c r="A232" t="s">
        <v>1537</v>
      </c>
    </row>
    <row r="233" spans="1:1">
      <c r="A233" t="s">
        <v>1538</v>
      </c>
    </row>
    <row r="234" spans="1:1">
      <c r="A234" t="s">
        <v>1539</v>
      </c>
    </row>
    <row r="235" spans="1:1">
      <c r="A235" t="s">
        <v>1540</v>
      </c>
    </row>
    <row r="236" spans="1:1">
      <c r="A236" t="s">
        <v>1541</v>
      </c>
    </row>
    <row r="237" spans="1:1">
      <c r="A237" t="s">
        <v>1542</v>
      </c>
    </row>
    <row r="238" spans="1:1">
      <c r="A238" t="s">
        <v>1543</v>
      </c>
    </row>
    <row r="239" spans="1:1">
      <c r="A239" t="s">
        <v>1544</v>
      </c>
    </row>
    <row r="240" spans="1:1">
      <c r="A240" t="s">
        <v>1545</v>
      </c>
    </row>
    <row r="241" spans="1:1">
      <c r="A241" t="s">
        <v>1546</v>
      </c>
    </row>
    <row r="242" spans="1:1">
      <c r="A242" t="s">
        <v>1547</v>
      </c>
    </row>
    <row r="243" spans="1:1">
      <c r="A243" t="s">
        <v>1548</v>
      </c>
    </row>
    <row r="244" spans="1:1">
      <c r="A244" t="s">
        <v>1549</v>
      </c>
    </row>
    <row r="245" spans="1:1">
      <c r="A245" t="s">
        <v>1550</v>
      </c>
    </row>
    <row r="246" spans="1:1">
      <c r="A246" t="s">
        <v>1551</v>
      </c>
    </row>
    <row r="247" spans="1:1">
      <c r="A247" t="s">
        <v>1552</v>
      </c>
    </row>
    <row r="248" spans="1:1">
      <c r="A248" t="s">
        <v>1553</v>
      </c>
    </row>
    <row r="249" spans="1:1">
      <c r="A249" t="s">
        <v>1554</v>
      </c>
    </row>
    <row r="250" spans="1:1">
      <c r="A250" t="s">
        <v>1555</v>
      </c>
    </row>
    <row r="251" spans="1:1">
      <c r="A251" t="s">
        <v>1556</v>
      </c>
    </row>
    <row r="252" spans="1:1">
      <c r="A252" t="s">
        <v>1557</v>
      </c>
    </row>
    <row r="253" spans="1:1">
      <c r="A253" t="s">
        <v>1558</v>
      </c>
    </row>
    <row r="254" spans="1:1">
      <c r="A254" t="s">
        <v>1559</v>
      </c>
    </row>
    <row r="255" spans="1:1">
      <c r="A255" t="s">
        <v>1560</v>
      </c>
    </row>
    <row r="256" spans="1:1">
      <c r="A256" t="s">
        <v>1561</v>
      </c>
    </row>
    <row r="257" spans="1:1">
      <c r="A257" t="s">
        <v>1562</v>
      </c>
    </row>
    <row r="258" spans="1:1">
      <c r="A258" t="s">
        <v>1563</v>
      </c>
    </row>
    <row r="259" spans="1:1">
      <c r="A259" t="s">
        <v>1564</v>
      </c>
    </row>
    <row r="260" spans="1:1">
      <c r="A260" t="s">
        <v>1565</v>
      </c>
    </row>
    <row r="261" spans="1:1">
      <c r="A261" t="s">
        <v>1566</v>
      </c>
    </row>
    <row r="262" spans="1:1">
      <c r="A262" t="s">
        <v>1567</v>
      </c>
    </row>
    <row r="263" spans="1:1">
      <c r="A263" t="s">
        <v>1568</v>
      </c>
    </row>
    <row r="264" spans="1:1">
      <c r="A264" t="s">
        <v>1569</v>
      </c>
    </row>
    <row r="265" spans="1:1">
      <c r="A265" t="s">
        <v>1570</v>
      </c>
    </row>
    <row r="266" spans="1:1">
      <c r="A266" t="s">
        <v>1571</v>
      </c>
    </row>
    <row r="267" spans="1:1">
      <c r="A267" t="s">
        <v>1572</v>
      </c>
    </row>
    <row r="268" spans="1:1">
      <c r="A268" t="s">
        <v>1573</v>
      </c>
    </row>
    <row r="269" spans="1:1">
      <c r="A269" t="s">
        <v>1574</v>
      </c>
    </row>
    <row r="270" spans="1:1">
      <c r="A270" t="s">
        <v>1575</v>
      </c>
    </row>
    <row r="271" spans="1:1">
      <c r="A271" t="s">
        <v>1576</v>
      </c>
    </row>
    <row r="272" spans="1:1">
      <c r="A272" t="s">
        <v>1577</v>
      </c>
    </row>
    <row r="273" spans="1:1">
      <c r="A273" t="s">
        <v>1578</v>
      </c>
    </row>
    <row r="274" spans="1:1">
      <c r="A274" t="s">
        <v>1579</v>
      </c>
    </row>
    <row r="275" spans="1:1">
      <c r="A275" t="s">
        <v>1580</v>
      </c>
    </row>
    <row r="276" spans="1:1">
      <c r="A276" t="s">
        <v>1581</v>
      </c>
    </row>
    <row r="277" spans="1:1">
      <c r="A277" t="s">
        <v>1582</v>
      </c>
    </row>
    <row r="278" spans="1:1">
      <c r="A278" t="s">
        <v>1583</v>
      </c>
    </row>
    <row r="279" spans="1:1">
      <c r="A279" t="s">
        <v>1584</v>
      </c>
    </row>
    <row r="280" spans="1:1">
      <c r="A280" t="s">
        <v>1585</v>
      </c>
    </row>
    <row r="281" spans="1:1">
      <c r="A281" t="s">
        <v>1586</v>
      </c>
    </row>
    <row r="282" spans="1:1">
      <c r="A282" t="s">
        <v>1587</v>
      </c>
    </row>
    <row r="283" spans="1:1">
      <c r="A283" t="s">
        <v>1588</v>
      </c>
    </row>
    <row r="284" spans="1:1">
      <c r="A284" t="s">
        <v>1589</v>
      </c>
    </row>
    <row r="285" spans="1:1">
      <c r="A285" t="s">
        <v>1590</v>
      </c>
    </row>
    <row r="286" spans="1:1">
      <c r="A286" t="s">
        <v>1591</v>
      </c>
    </row>
    <row r="287" spans="1:1">
      <c r="A287" t="s">
        <v>1592</v>
      </c>
    </row>
    <row r="288" spans="1:1">
      <c r="A288" t="s">
        <v>1593</v>
      </c>
    </row>
    <row r="289" spans="1:1">
      <c r="A289" t="s">
        <v>1594</v>
      </c>
    </row>
    <row r="290" spans="1:1">
      <c r="A290" t="s">
        <v>1595</v>
      </c>
    </row>
    <row r="291" spans="1:1">
      <c r="A291" t="s">
        <v>1596</v>
      </c>
    </row>
    <row r="292" spans="1:1">
      <c r="A292" t="s">
        <v>1597</v>
      </c>
    </row>
    <row r="293" spans="1:1">
      <c r="A293" t="s">
        <v>1598</v>
      </c>
    </row>
    <row r="294" spans="1:1">
      <c r="A294" t="s">
        <v>1599</v>
      </c>
    </row>
    <row r="295" spans="1:1">
      <c r="A295" t="s">
        <v>1600</v>
      </c>
    </row>
    <row r="296" spans="1:1">
      <c r="A296" t="s">
        <v>1601</v>
      </c>
    </row>
    <row r="297" spans="1:1">
      <c r="A297" t="s">
        <v>1602</v>
      </c>
    </row>
    <row r="298" spans="1:1">
      <c r="A298" t="s">
        <v>1603</v>
      </c>
    </row>
    <row r="299" spans="1:1">
      <c r="A299" t="s">
        <v>1604</v>
      </c>
    </row>
    <row r="300" spans="1:1">
      <c r="A300" t="s">
        <v>1605</v>
      </c>
    </row>
    <row r="301" spans="1:1">
      <c r="A301" t="s">
        <v>1606</v>
      </c>
    </row>
    <row r="302" spans="1:1">
      <c r="A302" t="s">
        <v>1607</v>
      </c>
    </row>
    <row r="303" spans="1:1">
      <c r="A303" t="s">
        <v>1608</v>
      </c>
    </row>
    <row r="304" spans="1:1">
      <c r="A304" t="s">
        <v>1609</v>
      </c>
    </row>
    <row r="305" spans="1:1">
      <c r="A305" t="s">
        <v>1610</v>
      </c>
    </row>
    <row r="306" spans="1:1">
      <c r="A306" t="s">
        <v>1611</v>
      </c>
    </row>
    <row r="307" spans="1:1">
      <c r="A307" t="s">
        <v>1612</v>
      </c>
    </row>
    <row r="308" spans="1:1">
      <c r="A308" t="s">
        <v>1613</v>
      </c>
    </row>
    <row r="309" spans="1:1">
      <c r="A309" t="s">
        <v>1614</v>
      </c>
    </row>
    <row r="310" spans="1:1">
      <c r="A310" t="s">
        <v>1615</v>
      </c>
    </row>
    <row r="311" spans="1:1">
      <c r="A311" t="s">
        <v>1616</v>
      </c>
    </row>
    <row r="312" spans="1:1">
      <c r="A312" t="s">
        <v>1617</v>
      </c>
    </row>
    <row r="313" spans="1:1">
      <c r="A313" t="s">
        <v>1618</v>
      </c>
    </row>
    <row r="314" spans="1:1">
      <c r="A314" t="s">
        <v>1619</v>
      </c>
    </row>
    <row r="315" spans="1:1">
      <c r="A315" t="s">
        <v>1620</v>
      </c>
    </row>
    <row r="316" spans="1:1">
      <c r="A316" t="s">
        <v>1621</v>
      </c>
    </row>
    <row r="317" spans="1:1">
      <c r="A317" t="s">
        <v>1622</v>
      </c>
    </row>
    <row r="318" spans="1:1">
      <c r="A318" t="s">
        <v>1623</v>
      </c>
    </row>
    <row r="319" spans="1:1">
      <c r="A319" t="s">
        <v>1624</v>
      </c>
    </row>
    <row r="320" spans="1:1">
      <c r="A320" t="s">
        <v>1625</v>
      </c>
    </row>
    <row r="321" spans="1:1">
      <c r="A321" t="s">
        <v>1626</v>
      </c>
    </row>
    <row r="322" spans="1:1">
      <c r="A322" t="s">
        <v>1627</v>
      </c>
    </row>
    <row r="323" spans="1:1">
      <c r="A323" t="s">
        <v>1628</v>
      </c>
    </row>
    <row r="324" spans="1:1">
      <c r="A324" t="s">
        <v>1629</v>
      </c>
    </row>
    <row r="325" spans="1:1">
      <c r="A325" t="s">
        <v>1630</v>
      </c>
    </row>
    <row r="326" spans="1:1">
      <c r="A326" t="s">
        <v>1631</v>
      </c>
    </row>
    <row r="327" spans="1:1">
      <c r="A327" t="s">
        <v>1632</v>
      </c>
    </row>
    <row r="328" spans="1:1">
      <c r="A328" t="s">
        <v>1633</v>
      </c>
    </row>
    <row r="329" spans="1:1">
      <c r="A329" t="s">
        <v>1634</v>
      </c>
    </row>
    <row r="330" spans="1:1">
      <c r="A330" t="s">
        <v>1635</v>
      </c>
    </row>
    <row r="331" spans="1:1">
      <c r="A331" t="s">
        <v>1636</v>
      </c>
    </row>
    <row r="332" spans="1:1">
      <c r="A332" t="s">
        <v>1637</v>
      </c>
    </row>
    <row r="333" spans="1:1">
      <c r="A333" t="s">
        <v>1638</v>
      </c>
    </row>
    <row r="334" spans="1:1">
      <c r="A334" t="s">
        <v>1639</v>
      </c>
    </row>
    <row r="335" spans="1:1">
      <c r="A335" t="s">
        <v>1640</v>
      </c>
    </row>
    <row r="336" spans="1:1">
      <c r="A336" t="s">
        <v>1641</v>
      </c>
    </row>
    <row r="337" spans="1:1">
      <c r="A337" t="s">
        <v>1642</v>
      </c>
    </row>
    <row r="338" spans="1:1">
      <c r="A338" t="s">
        <v>1643</v>
      </c>
    </row>
    <row r="339" spans="1:1">
      <c r="A339" t="s">
        <v>1644</v>
      </c>
    </row>
    <row r="340" spans="1:1">
      <c r="A340" t="s">
        <v>1645</v>
      </c>
    </row>
    <row r="341" spans="1:1">
      <c r="A341" t="s">
        <v>1646</v>
      </c>
    </row>
    <row r="342" spans="1:1">
      <c r="A342" t="s">
        <v>1647</v>
      </c>
    </row>
    <row r="343" spans="1:1">
      <c r="A343" t="s">
        <v>1648</v>
      </c>
    </row>
    <row r="344" spans="1:1">
      <c r="A344" t="s">
        <v>1649</v>
      </c>
    </row>
    <row r="345" spans="1:1">
      <c r="A345" t="s">
        <v>1650</v>
      </c>
    </row>
    <row r="346" spans="1:1">
      <c r="A346" t="s">
        <v>1651</v>
      </c>
    </row>
    <row r="347" spans="1:1">
      <c r="A347" t="s">
        <v>1652</v>
      </c>
    </row>
    <row r="348" spans="1:1">
      <c r="A348" t="s">
        <v>1653</v>
      </c>
    </row>
    <row r="349" spans="1:1">
      <c r="A349" t="s">
        <v>1654</v>
      </c>
    </row>
    <row r="350" spans="1:1">
      <c r="A350" t="s">
        <v>1655</v>
      </c>
    </row>
    <row r="351" spans="1:1">
      <c r="A351" t="s">
        <v>1656</v>
      </c>
    </row>
    <row r="352" spans="1:1">
      <c r="A352" t="s">
        <v>1657</v>
      </c>
    </row>
    <row r="353" spans="1:1">
      <c r="A353" t="s">
        <v>1658</v>
      </c>
    </row>
    <row r="354" spans="1:1">
      <c r="A354" t="s">
        <v>1659</v>
      </c>
    </row>
    <row r="355" spans="1:1">
      <c r="A355" t="s">
        <v>1660</v>
      </c>
    </row>
    <row r="356" spans="1:1">
      <c r="A356" t="s">
        <v>1661</v>
      </c>
    </row>
    <row r="357" spans="1:1">
      <c r="A357" t="s">
        <v>1662</v>
      </c>
    </row>
    <row r="358" spans="1:1">
      <c r="A358" t="s">
        <v>1663</v>
      </c>
    </row>
    <row r="359" spans="1:1">
      <c r="A359" t="s">
        <v>1664</v>
      </c>
    </row>
    <row r="360" spans="1:1">
      <c r="A360" t="s">
        <v>1665</v>
      </c>
    </row>
    <row r="361" spans="1:1">
      <c r="A361" t="s">
        <v>1666</v>
      </c>
    </row>
    <row r="362" spans="1:1">
      <c r="A362" t="s">
        <v>1667</v>
      </c>
    </row>
    <row r="363" spans="1:1">
      <c r="A363" t="s">
        <v>1668</v>
      </c>
    </row>
    <row r="364" spans="1:1">
      <c r="A364" t="s">
        <v>1669</v>
      </c>
    </row>
    <row r="365" spans="1:1">
      <c r="A365" t="s">
        <v>1670</v>
      </c>
    </row>
    <row r="366" spans="1:1">
      <c r="A366" t="s">
        <v>1671</v>
      </c>
    </row>
    <row r="367" spans="1:1">
      <c r="A367" t="s">
        <v>1672</v>
      </c>
    </row>
    <row r="368" spans="1:1">
      <c r="A368" t="s">
        <v>1673</v>
      </c>
    </row>
    <row r="369" spans="1:1">
      <c r="A369" t="s">
        <v>1674</v>
      </c>
    </row>
    <row r="370" spans="1:1">
      <c r="A370" t="s">
        <v>1675</v>
      </c>
    </row>
    <row r="371" spans="1:1">
      <c r="A371" t="s">
        <v>1676</v>
      </c>
    </row>
    <row r="372" spans="1:1">
      <c r="A372" t="s">
        <v>1677</v>
      </c>
    </row>
    <row r="373" spans="1:1">
      <c r="A373" t="s">
        <v>1678</v>
      </c>
    </row>
    <row r="374" spans="1:1">
      <c r="A374" t="s">
        <v>1679</v>
      </c>
    </row>
    <row r="375" spans="1:1">
      <c r="A375" t="s">
        <v>1680</v>
      </c>
    </row>
    <row r="376" spans="1:1">
      <c r="A376" t="s">
        <v>1681</v>
      </c>
    </row>
    <row r="377" spans="1:1">
      <c r="A377" t="s">
        <v>1682</v>
      </c>
    </row>
    <row r="378" spans="1:1">
      <c r="A378" t="s">
        <v>1683</v>
      </c>
    </row>
    <row r="379" spans="1:1">
      <c r="A379" t="s">
        <v>1684</v>
      </c>
    </row>
    <row r="380" spans="1:1">
      <c r="A380" t="s">
        <v>1685</v>
      </c>
    </row>
    <row r="381" spans="1:1">
      <c r="A381" t="s">
        <v>1686</v>
      </c>
    </row>
    <row r="382" spans="1:1">
      <c r="A382" t="s">
        <v>1687</v>
      </c>
    </row>
    <row r="383" spans="1:1">
      <c r="A383" t="s">
        <v>1688</v>
      </c>
    </row>
    <row r="384" spans="1:1">
      <c r="A384" t="s">
        <v>1689</v>
      </c>
    </row>
    <row r="385" spans="1:1">
      <c r="A385" t="s">
        <v>1690</v>
      </c>
    </row>
    <row r="386" spans="1:1">
      <c r="A386" t="s">
        <v>1691</v>
      </c>
    </row>
    <row r="387" spans="1:1">
      <c r="A387" t="s">
        <v>1692</v>
      </c>
    </row>
    <row r="388" spans="1:1">
      <c r="A388" t="s">
        <v>1693</v>
      </c>
    </row>
    <row r="389" spans="1:1">
      <c r="A389" t="s">
        <v>1694</v>
      </c>
    </row>
    <row r="390" spans="1:1">
      <c r="A390" t="s">
        <v>1695</v>
      </c>
    </row>
    <row r="391" spans="1:1">
      <c r="A391" t="s">
        <v>1696</v>
      </c>
    </row>
    <row r="392" spans="1:1">
      <c r="A392" t="s">
        <v>1697</v>
      </c>
    </row>
    <row r="393" spans="1:1">
      <c r="A393" t="s">
        <v>1698</v>
      </c>
    </row>
    <row r="394" spans="1:1">
      <c r="A394" t="s">
        <v>1699</v>
      </c>
    </row>
    <row r="395" spans="1:1">
      <c r="A395" t="s">
        <v>1700</v>
      </c>
    </row>
    <row r="396" spans="1:1">
      <c r="A396" t="s">
        <v>1701</v>
      </c>
    </row>
    <row r="397" spans="1:1">
      <c r="A397" t="s">
        <v>1702</v>
      </c>
    </row>
    <row r="398" spans="1:1">
      <c r="A398" t="s">
        <v>1703</v>
      </c>
    </row>
    <row r="399" spans="1:1">
      <c r="A399" t="s">
        <v>1704</v>
      </c>
    </row>
    <row r="400" spans="1:1">
      <c r="A400" t="s">
        <v>1705</v>
      </c>
    </row>
    <row r="401" spans="1:1">
      <c r="A401" t="s">
        <v>1706</v>
      </c>
    </row>
    <row r="402" spans="1:1">
      <c r="A402" t="s">
        <v>1707</v>
      </c>
    </row>
    <row r="403" spans="1:1">
      <c r="A403" t="s">
        <v>1708</v>
      </c>
    </row>
    <row r="404" spans="1:1">
      <c r="A404" t="s">
        <v>1709</v>
      </c>
    </row>
    <row r="405" spans="1:1">
      <c r="A405" t="s">
        <v>1710</v>
      </c>
    </row>
    <row r="406" spans="1:1">
      <c r="A406" t="s">
        <v>1711</v>
      </c>
    </row>
    <row r="407" spans="1:1">
      <c r="A407" t="s">
        <v>1712</v>
      </c>
    </row>
    <row r="408" spans="1:1">
      <c r="A408" t="s">
        <v>1713</v>
      </c>
    </row>
    <row r="409" spans="1:1">
      <c r="A409" t="s">
        <v>1714</v>
      </c>
    </row>
    <row r="410" spans="1:1">
      <c r="A410" t="s">
        <v>1715</v>
      </c>
    </row>
    <row r="411" spans="1:1">
      <c r="A411" t="s">
        <v>1716</v>
      </c>
    </row>
    <row r="412" spans="1:1">
      <c r="A412" t="s">
        <v>1717</v>
      </c>
    </row>
    <row r="413" spans="1:1">
      <c r="A413" t="s">
        <v>1718</v>
      </c>
    </row>
    <row r="414" spans="1:1">
      <c r="A414" t="s">
        <v>1719</v>
      </c>
    </row>
    <row r="415" spans="1:1">
      <c r="A415" t="s">
        <v>1720</v>
      </c>
    </row>
    <row r="416" spans="1:1">
      <c r="A416" t="s">
        <v>1721</v>
      </c>
    </row>
    <row r="417" spans="1:1">
      <c r="A417" t="s">
        <v>1722</v>
      </c>
    </row>
    <row r="418" spans="1:1">
      <c r="A418" t="s">
        <v>1723</v>
      </c>
    </row>
    <row r="419" spans="1:1">
      <c r="A419" t="s">
        <v>1724</v>
      </c>
    </row>
    <row r="420" spans="1:1">
      <c r="A420" t="s">
        <v>1725</v>
      </c>
    </row>
    <row r="421" spans="1:1">
      <c r="A421" t="s">
        <v>1726</v>
      </c>
    </row>
    <row r="422" spans="1:1">
      <c r="A422" t="s">
        <v>1727</v>
      </c>
    </row>
    <row r="423" spans="1:1">
      <c r="A423" t="s">
        <v>1728</v>
      </c>
    </row>
    <row r="424" spans="1:1">
      <c r="A424" t="s">
        <v>1729</v>
      </c>
    </row>
    <row r="425" spans="1:1">
      <c r="A425" t="s">
        <v>1730</v>
      </c>
    </row>
    <row r="426" spans="1:1">
      <c r="A426" t="s">
        <v>1731</v>
      </c>
    </row>
    <row r="427" spans="1:1">
      <c r="A427" t="s">
        <v>1732</v>
      </c>
    </row>
    <row r="428" spans="1:1">
      <c r="A428" t="s">
        <v>1733</v>
      </c>
    </row>
    <row r="429" spans="1:1">
      <c r="A429" t="s">
        <v>1734</v>
      </c>
    </row>
    <row r="430" spans="1:1">
      <c r="A430" t="s">
        <v>1735</v>
      </c>
    </row>
    <row r="431" spans="1:1">
      <c r="A431" t="s">
        <v>1736</v>
      </c>
    </row>
    <row r="432" spans="1:1">
      <c r="A432" t="s">
        <v>1737</v>
      </c>
    </row>
    <row r="433" spans="1:1">
      <c r="A433" t="s">
        <v>1738</v>
      </c>
    </row>
    <row r="434" spans="1:1">
      <c r="A434" t="s">
        <v>1739</v>
      </c>
    </row>
    <row r="435" spans="1:1">
      <c r="A435" t="s">
        <v>1740</v>
      </c>
    </row>
    <row r="436" spans="1:1">
      <c r="A436" t="s">
        <v>1741</v>
      </c>
    </row>
    <row r="437" spans="1:1">
      <c r="A437" t="s">
        <v>1742</v>
      </c>
    </row>
    <row r="438" spans="1:1">
      <c r="A438" t="s">
        <v>1743</v>
      </c>
    </row>
    <row r="439" spans="1:1">
      <c r="A439" t="s">
        <v>1744</v>
      </c>
    </row>
    <row r="440" spans="1:1">
      <c r="A440" t="s">
        <v>1745</v>
      </c>
    </row>
    <row r="441" spans="1:1">
      <c r="A441" t="s">
        <v>1746</v>
      </c>
    </row>
    <row r="442" spans="1:1">
      <c r="A442" t="s">
        <v>1747</v>
      </c>
    </row>
    <row r="443" spans="1:1">
      <c r="A443" t="s">
        <v>1748</v>
      </c>
    </row>
    <row r="444" spans="1:1">
      <c r="A444" t="s">
        <v>1749</v>
      </c>
    </row>
    <row r="445" spans="1:1">
      <c r="A445" t="s">
        <v>1750</v>
      </c>
    </row>
    <row r="446" spans="1:1">
      <c r="A446" t="s">
        <v>1751</v>
      </c>
    </row>
    <row r="447" spans="1:1">
      <c r="A447" t="s">
        <v>1752</v>
      </c>
    </row>
    <row r="448" spans="1:1">
      <c r="A448" t="s">
        <v>1753</v>
      </c>
    </row>
    <row r="449" spans="1:1">
      <c r="A449" t="s">
        <v>1754</v>
      </c>
    </row>
    <row r="450" spans="1:1">
      <c r="A450" t="s">
        <v>1755</v>
      </c>
    </row>
    <row r="451" spans="1:1">
      <c r="A451" t="s">
        <v>1756</v>
      </c>
    </row>
    <row r="452" spans="1:1">
      <c r="A452" t="s">
        <v>1757</v>
      </c>
    </row>
    <row r="453" spans="1:1">
      <c r="A453" t="s">
        <v>1758</v>
      </c>
    </row>
    <row r="454" spans="1:1">
      <c r="A454" t="s">
        <v>1759</v>
      </c>
    </row>
    <row r="455" spans="1:1">
      <c r="A455" t="s">
        <v>1760</v>
      </c>
    </row>
    <row r="456" spans="1:1">
      <c r="A456" t="s">
        <v>1761</v>
      </c>
    </row>
    <row r="457" spans="1:1">
      <c r="A457" t="s">
        <v>1762</v>
      </c>
    </row>
    <row r="458" spans="1:1">
      <c r="A458" t="s">
        <v>1763</v>
      </c>
    </row>
    <row r="459" spans="1:1">
      <c r="A459" t="s">
        <v>1764</v>
      </c>
    </row>
    <row r="460" spans="1:1">
      <c r="A460" t="s">
        <v>1765</v>
      </c>
    </row>
    <row r="461" spans="1:1">
      <c r="A461" t="s">
        <v>1766</v>
      </c>
    </row>
    <row r="462" spans="1:1">
      <c r="A462" t="s">
        <v>1767</v>
      </c>
    </row>
    <row r="463" spans="1:1">
      <c r="A463" t="s">
        <v>1768</v>
      </c>
    </row>
    <row r="464" spans="1:1">
      <c r="A464" t="s">
        <v>1769</v>
      </c>
    </row>
    <row r="465" spans="1:1">
      <c r="A465" t="s">
        <v>1770</v>
      </c>
    </row>
    <row r="466" spans="1:1">
      <c r="A466" t="s">
        <v>1771</v>
      </c>
    </row>
    <row r="467" spans="1:1">
      <c r="A467" t="s">
        <v>1772</v>
      </c>
    </row>
    <row r="468" spans="1:1">
      <c r="A468" t="s">
        <v>1773</v>
      </c>
    </row>
    <row r="469" spans="1:1">
      <c r="A469" t="s">
        <v>1774</v>
      </c>
    </row>
    <row r="470" spans="1:1">
      <c r="A470" t="s">
        <v>1775</v>
      </c>
    </row>
    <row r="471" spans="1:1">
      <c r="A471" t="s">
        <v>1776</v>
      </c>
    </row>
    <row r="472" spans="1:1">
      <c r="A472" t="s">
        <v>1777</v>
      </c>
    </row>
    <row r="473" spans="1:1">
      <c r="A473" t="s">
        <v>1778</v>
      </c>
    </row>
    <row r="474" spans="1:1">
      <c r="A474" t="s">
        <v>1779</v>
      </c>
    </row>
    <row r="475" spans="1:1">
      <c r="A475" t="s">
        <v>1780</v>
      </c>
    </row>
    <row r="476" spans="1:1">
      <c r="A476" t="s">
        <v>1781</v>
      </c>
    </row>
    <row r="477" spans="1:1">
      <c r="A477" t="s">
        <v>1782</v>
      </c>
    </row>
    <row r="478" spans="1:1">
      <c r="A478" t="s">
        <v>1783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93A1F-1E63-D645-89DE-6DF488E1AB45}">
  <dimension ref="A1:A443"/>
  <sheetViews>
    <sheetView workbookViewId="0">
      <selection sqref="A1:A444"/>
    </sheetView>
  </sheetViews>
  <sheetFormatPr baseColWidth="10" defaultRowHeight="16"/>
  <sheetData>
    <row r="1" spans="1:1">
      <c r="A1" t="s">
        <v>488</v>
      </c>
    </row>
    <row r="2" spans="1:1">
      <c r="A2" t="s">
        <v>489</v>
      </c>
    </row>
    <row r="3" spans="1:1">
      <c r="A3" t="s">
        <v>490</v>
      </c>
    </row>
    <row r="4" spans="1:1">
      <c r="A4" t="s">
        <v>491</v>
      </c>
    </row>
    <row r="5" spans="1:1">
      <c r="A5" t="s">
        <v>492</v>
      </c>
    </row>
    <row r="6" spans="1:1">
      <c r="A6" t="s">
        <v>493</v>
      </c>
    </row>
    <row r="7" spans="1:1">
      <c r="A7" t="s">
        <v>494</v>
      </c>
    </row>
    <row r="8" spans="1:1">
      <c r="A8" t="s">
        <v>495</v>
      </c>
    </row>
    <row r="9" spans="1:1">
      <c r="A9" t="s">
        <v>496</v>
      </c>
    </row>
    <row r="10" spans="1:1">
      <c r="A10" t="s">
        <v>497</v>
      </c>
    </row>
    <row r="11" spans="1:1">
      <c r="A11" t="s">
        <v>498</v>
      </c>
    </row>
    <row r="12" spans="1:1">
      <c r="A12" t="s">
        <v>499</v>
      </c>
    </row>
    <row r="13" spans="1:1">
      <c r="A13" t="s">
        <v>500</v>
      </c>
    </row>
    <row r="14" spans="1:1">
      <c r="A14" t="s">
        <v>501</v>
      </c>
    </row>
    <row r="15" spans="1:1">
      <c r="A15" t="s">
        <v>502</v>
      </c>
    </row>
    <row r="16" spans="1:1">
      <c r="A16" t="s">
        <v>503</v>
      </c>
    </row>
    <row r="17" spans="1:1">
      <c r="A17" t="s">
        <v>504</v>
      </c>
    </row>
    <row r="18" spans="1:1">
      <c r="A18" t="s">
        <v>505</v>
      </c>
    </row>
    <row r="19" spans="1:1">
      <c r="A19" t="s">
        <v>506</v>
      </c>
    </row>
    <row r="20" spans="1:1">
      <c r="A20" t="s">
        <v>507</v>
      </c>
    </row>
    <row r="21" spans="1:1">
      <c r="A21" t="s">
        <v>508</v>
      </c>
    </row>
    <row r="22" spans="1:1">
      <c r="A22" t="s">
        <v>509</v>
      </c>
    </row>
    <row r="23" spans="1:1">
      <c r="A23" t="s">
        <v>510</v>
      </c>
    </row>
    <row r="24" spans="1:1">
      <c r="A24" t="s">
        <v>511</v>
      </c>
    </row>
    <row r="25" spans="1:1">
      <c r="A25" t="s">
        <v>512</v>
      </c>
    </row>
    <row r="26" spans="1:1">
      <c r="A26" t="s">
        <v>513</v>
      </c>
    </row>
    <row r="27" spans="1:1">
      <c r="A27" t="s">
        <v>514</v>
      </c>
    </row>
    <row r="28" spans="1:1">
      <c r="A28" t="s">
        <v>515</v>
      </c>
    </row>
    <row r="29" spans="1:1">
      <c r="A29" t="s">
        <v>516</v>
      </c>
    </row>
    <row r="30" spans="1:1">
      <c r="A30" t="s">
        <v>517</v>
      </c>
    </row>
    <row r="31" spans="1:1">
      <c r="A31" t="s">
        <v>518</v>
      </c>
    </row>
    <row r="32" spans="1:1">
      <c r="A32" t="s">
        <v>519</v>
      </c>
    </row>
    <row r="33" spans="1:1">
      <c r="A33" t="s">
        <v>520</v>
      </c>
    </row>
    <row r="34" spans="1:1">
      <c r="A34" t="s">
        <v>521</v>
      </c>
    </row>
    <row r="35" spans="1:1">
      <c r="A35" t="s">
        <v>522</v>
      </c>
    </row>
    <row r="36" spans="1:1">
      <c r="A36" t="s">
        <v>523</v>
      </c>
    </row>
    <row r="37" spans="1:1">
      <c r="A37" t="s">
        <v>524</v>
      </c>
    </row>
    <row r="38" spans="1:1">
      <c r="A38" t="s">
        <v>525</v>
      </c>
    </row>
    <row r="39" spans="1:1">
      <c r="A39" t="s">
        <v>526</v>
      </c>
    </row>
    <row r="40" spans="1:1">
      <c r="A40" t="s">
        <v>527</v>
      </c>
    </row>
    <row r="41" spans="1:1">
      <c r="A41" t="s">
        <v>528</v>
      </c>
    </row>
    <row r="42" spans="1:1">
      <c r="A42" t="s">
        <v>529</v>
      </c>
    </row>
    <row r="43" spans="1:1">
      <c r="A43" t="s">
        <v>530</v>
      </c>
    </row>
    <row r="44" spans="1:1">
      <c r="A44" t="s">
        <v>531</v>
      </c>
    </row>
    <row r="45" spans="1:1">
      <c r="A45" t="s">
        <v>532</v>
      </c>
    </row>
    <row r="46" spans="1:1">
      <c r="A46" t="s">
        <v>533</v>
      </c>
    </row>
    <row r="47" spans="1:1">
      <c r="A47" t="s">
        <v>534</v>
      </c>
    </row>
    <row r="48" spans="1:1">
      <c r="A48" t="s">
        <v>535</v>
      </c>
    </row>
    <row r="49" spans="1:1">
      <c r="A49" t="s">
        <v>536</v>
      </c>
    </row>
    <row r="50" spans="1:1">
      <c r="A50" t="s">
        <v>537</v>
      </c>
    </row>
    <row r="51" spans="1:1">
      <c r="A51" t="s">
        <v>538</v>
      </c>
    </row>
    <row r="52" spans="1:1">
      <c r="A52" t="s">
        <v>539</v>
      </c>
    </row>
    <row r="53" spans="1:1">
      <c r="A53" t="s">
        <v>540</v>
      </c>
    </row>
    <row r="54" spans="1:1">
      <c r="A54" t="s">
        <v>541</v>
      </c>
    </row>
    <row r="55" spans="1:1">
      <c r="A55" t="s">
        <v>542</v>
      </c>
    </row>
    <row r="56" spans="1:1">
      <c r="A56" t="s">
        <v>543</v>
      </c>
    </row>
    <row r="57" spans="1:1">
      <c r="A57" t="s">
        <v>544</v>
      </c>
    </row>
    <row r="58" spans="1:1">
      <c r="A58" t="s">
        <v>545</v>
      </c>
    </row>
    <row r="59" spans="1:1">
      <c r="A59" t="s">
        <v>546</v>
      </c>
    </row>
    <row r="60" spans="1:1">
      <c r="A60" t="s">
        <v>547</v>
      </c>
    </row>
    <row r="61" spans="1:1">
      <c r="A61" t="s">
        <v>548</v>
      </c>
    </row>
    <row r="62" spans="1:1">
      <c r="A62" t="s">
        <v>549</v>
      </c>
    </row>
    <row r="63" spans="1:1">
      <c r="A63" t="s">
        <v>550</v>
      </c>
    </row>
    <row r="64" spans="1:1">
      <c r="A64" t="s">
        <v>551</v>
      </c>
    </row>
    <row r="65" spans="1:1">
      <c r="A65" t="s">
        <v>552</v>
      </c>
    </row>
    <row r="66" spans="1:1">
      <c r="A66" t="s">
        <v>553</v>
      </c>
    </row>
    <row r="67" spans="1:1">
      <c r="A67" t="s">
        <v>554</v>
      </c>
    </row>
    <row r="68" spans="1:1">
      <c r="A68" t="s">
        <v>555</v>
      </c>
    </row>
    <row r="69" spans="1:1">
      <c r="A69" t="s">
        <v>556</v>
      </c>
    </row>
    <row r="70" spans="1:1">
      <c r="A70" t="s">
        <v>557</v>
      </c>
    </row>
    <row r="71" spans="1:1">
      <c r="A71" t="s">
        <v>558</v>
      </c>
    </row>
    <row r="72" spans="1:1">
      <c r="A72" t="s">
        <v>559</v>
      </c>
    </row>
    <row r="73" spans="1:1">
      <c r="A73" t="s">
        <v>560</v>
      </c>
    </row>
    <row r="74" spans="1:1">
      <c r="A74" t="s">
        <v>561</v>
      </c>
    </row>
    <row r="75" spans="1:1">
      <c r="A75" t="s">
        <v>562</v>
      </c>
    </row>
    <row r="76" spans="1:1">
      <c r="A76" t="s">
        <v>563</v>
      </c>
    </row>
    <row r="77" spans="1:1">
      <c r="A77" t="s">
        <v>564</v>
      </c>
    </row>
    <row r="78" spans="1:1">
      <c r="A78" t="s">
        <v>565</v>
      </c>
    </row>
    <row r="79" spans="1:1">
      <c r="A79" t="s">
        <v>566</v>
      </c>
    </row>
    <row r="80" spans="1:1">
      <c r="A80" t="s">
        <v>567</v>
      </c>
    </row>
    <row r="81" spans="1:1">
      <c r="A81" t="s">
        <v>568</v>
      </c>
    </row>
    <row r="82" spans="1:1">
      <c r="A82" t="s">
        <v>569</v>
      </c>
    </row>
    <row r="83" spans="1:1">
      <c r="A83" t="s">
        <v>570</v>
      </c>
    </row>
    <row r="84" spans="1:1">
      <c r="A84" t="s">
        <v>571</v>
      </c>
    </row>
    <row r="85" spans="1:1">
      <c r="A85" t="s">
        <v>572</v>
      </c>
    </row>
    <row r="86" spans="1:1">
      <c r="A86" t="s">
        <v>573</v>
      </c>
    </row>
    <row r="87" spans="1:1">
      <c r="A87" t="s">
        <v>574</v>
      </c>
    </row>
    <row r="88" spans="1:1">
      <c r="A88" t="s">
        <v>575</v>
      </c>
    </row>
    <row r="89" spans="1:1">
      <c r="A89" t="s">
        <v>576</v>
      </c>
    </row>
    <row r="90" spans="1:1">
      <c r="A90" t="s">
        <v>577</v>
      </c>
    </row>
    <row r="91" spans="1:1">
      <c r="A91" t="s">
        <v>578</v>
      </c>
    </row>
    <row r="92" spans="1:1">
      <c r="A92" t="s">
        <v>579</v>
      </c>
    </row>
    <row r="93" spans="1:1">
      <c r="A93" t="s">
        <v>580</v>
      </c>
    </row>
    <row r="94" spans="1:1">
      <c r="A94" t="s">
        <v>581</v>
      </c>
    </row>
    <row r="95" spans="1:1">
      <c r="A95" t="s">
        <v>582</v>
      </c>
    </row>
    <row r="96" spans="1:1">
      <c r="A96" t="s">
        <v>583</v>
      </c>
    </row>
    <row r="97" spans="1:1">
      <c r="A97" t="s">
        <v>584</v>
      </c>
    </row>
    <row r="98" spans="1:1">
      <c r="A98" t="s">
        <v>585</v>
      </c>
    </row>
    <row r="99" spans="1:1">
      <c r="A99" t="s">
        <v>586</v>
      </c>
    </row>
    <row r="100" spans="1:1">
      <c r="A100" t="s">
        <v>587</v>
      </c>
    </row>
    <row r="101" spans="1:1">
      <c r="A101" t="s">
        <v>588</v>
      </c>
    </row>
    <row r="102" spans="1:1">
      <c r="A102" t="s">
        <v>589</v>
      </c>
    </row>
    <row r="103" spans="1:1">
      <c r="A103" t="s">
        <v>590</v>
      </c>
    </row>
    <row r="104" spans="1:1">
      <c r="A104" t="s">
        <v>591</v>
      </c>
    </row>
    <row r="105" spans="1:1">
      <c r="A105" t="s">
        <v>592</v>
      </c>
    </row>
    <row r="106" spans="1:1">
      <c r="A106" t="s">
        <v>593</v>
      </c>
    </row>
    <row r="107" spans="1:1">
      <c r="A107" t="s">
        <v>594</v>
      </c>
    </row>
    <row r="108" spans="1:1">
      <c r="A108" t="s">
        <v>595</v>
      </c>
    </row>
    <row r="109" spans="1:1">
      <c r="A109" t="s">
        <v>596</v>
      </c>
    </row>
    <row r="110" spans="1:1">
      <c r="A110" t="s">
        <v>597</v>
      </c>
    </row>
    <row r="111" spans="1:1">
      <c r="A111" t="s">
        <v>598</v>
      </c>
    </row>
    <row r="112" spans="1:1">
      <c r="A112" t="s">
        <v>599</v>
      </c>
    </row>
    <row r="113" spans="1:1">
      <c r="A113" t="s">
        <v>600</v>
      </c>
    </row>
    <row r="114" spans="1:1">
      <c r="A114" t="s">
        <v>601</v>
      </c>
    </row>
    <row r="115" spans="1:1">
      <c r="A115" t="s">
        <v>602</v>
      </c>
    </row>
    <row r="116" spans="1:1">
      <c r="A116" t="s">
        <v>603</v>
      </c>
    </row>
    <row r="117" spans="1:1">
      <c r="A117" t="s">
        <v>604</v>
      </c>
    </row>
    <row r="118" spans="1:1">
      <c r="A118" t="s">
        <v>605</v>
      </c>
    </row>
    <row r="119" spans="1:1">
      <c r="A119" t="s">
        <v>606</v>
      </c>
    </row>
    <row r="120" spans="1:1">
      <c r="A120" t="s">
        <v>607</v>
      </c>
    </row>
    <row r="121" spans="1:1">
      <c r="A121" t="s">
        <v>608</v>
      </c>
    </row>
    <row r="122" spans="1:1">
      <c r="A122" t="s">
        <v>609</v>
      </c>
    </row>
    <row r="123" spans="1:1">
      <c r="A123" t="s">
        <v>610</v>
      </c>
    </row>
    <row r="124" spans="1:1">
      <c r="A124" t="s">
        <v>611</v>
      </c>
    </row>
    <row r="125" spans="1:1">
      <c r="A125" t="s">
        <v>612</v>
      </c>
    </row>
    <row r="126" spans="1:1">
      <c r="A126" t="s">
        <v>613</v>
      </c>
    </row>
    <row r="127" spans="1:1">
      <c r="A127" t="s">
        <v>614</v>
      </c>
    </row>
    <row r="128" spans="1:1">
      <c r="A128" t="s">
        <v>615</v>
      </c>
    </row>
    <row r="129" spans="1:1">
      <c r="A129" t="s">
        <v>616</v>
      </c>
    </row>
    <row r="130" spans="1:1">
      <c r="A130" t="s">
        <v>617</v>
      </c>
    </row>
    <row r="131" spans="1:1">
      <c r="A131" t="s">
        <v>618</v>
      </c>
    </row>
    <row r="132" spans="1:1">
      <c r="A132" t="s">
        <v>619</v>
      </c>
    </row>
    <row r="133" spans="1:1">
      <c r="A133" t="s">
        <v>620</v>
      </c>
    </row>
    <row r="134" spans="1:1">
      <c r="A134" t="s">
        <v>621</v>
      </c>
    </row>
    <row r="135" spans="1:1">
      <c r="A135" t="s">
        <v>622</v>
      </c>
    </row>
    <row r="136" spans="1:1">
      <c r="A136" t="s">
        <v>623</v>
      </c>
    </row>
    <row r="137" spans="1:1">
      <c r="A137" t="s">
        <v>624</v>
      </c>
    </row>
    <row r="138" spans="1:1">
      <c r="A138" t="s">
        <v>625</v>
      </c>
    </row>
    <row r="139" spans="1:1">
      <c r="A139" t="s">
        <v>626</v>
      </c>
    </row>
    <row r="140" spans="1:1">
      <c r="A140" t="s">
        <v>627</v>
      </c>
    </row>
    <row r="141" spans="1:1">
      <c r="A141" t="s">
        <v>628</v>
      </c>
    </row>
    <row r="142" spans="1:1">
      <c r="A142" t="s">
        <v>629</v>
      </c>
    </row>
    <row r="143" spans="1:1">
      <c r="A143" t="s">
        <v>630</v>
      </c>
    </row>
    <row r="144" spans="1:1">
      <c r="A144" t="s">
        <v>631</v>
      </c>
    </row>
    <row r="145" spans="1:1">
      <c r="A145" t="s">
        <v>632</v>
      </c>
    </row>
    <row r="146" spans="1:1">
      <c r="A146" t="s">
        <v>633</v>
      </c>
    </row>
    <row r="147" spans="1:1">
      <c r="A147" t="s">
        <v>634</v>
      </c>
    </row>
    <row r="148" spans="1:1">
      <c r="A148" t="s">
        <v>635</v>
      </c>
    </row>
    <row r="149" spans="1:1">
      <c r="A149" t="s">
        <v>636</v>
      </c>
    </row>
    <row r="150" spans="1:1">
      <c r="A150" t="s">
        <v>637</v>
      </c>
    </row>
    <row r="151" spans="1:1">
      <c r="A151" t="s">
        <v>638</v>
      </c>
    </row>
    <row r="152" spans="1:1">
      <c r="A152" t="s">
        <v>639</v>
      </c>
    </row>
    <row r="153" spans="1:1">
      <c r="A153" t="s">
        <v>640</v>
      </c>
    </row>
    <row r="154" spans="1:1">
      <c r="A154" t="s">
        <v>641</v>
      </c>
    </row>
    <row r="155" spans="1:1">
      <c r="A155" t="s">
        <v>642</v>
      </c>
    </row>
    <row r="156" spans="1:1">
      <c r="A156" t="s">
        <v>643</v>
      </c>
    </row>
    <row r="157" spans="1:1">
      <c r="A157" t="s">
        <v>644</v>
      </c>
    </row>
    <row r="158" spans="1:1">
      <c r="A158" t="s">
        <v>645</v>
      </c>
    </row>
    <row r="159" spans="1:1">
      <c r="A159" t="s">
        <v>646</v>
      </c>
    </row>
    <row r="160" spans="1:1">
      <c r="A160" t="s">
        <v>647</v>
      </c>
    </row>
    <row r="161" spans="1:1">
      <c r="A161" t="s">
        <v>648</v>
      </c>
    </row>
    <row r="162" spans="1:1">
      <c r="A162" t="s">
        <v>649</v>
      </c>
    </row>
    <row r="163" spans="1:1">
      <c r="A163" t="s">
        <v>650</v>
      </c>
    </row>
    <row r="164" spans="1:1">
      <c r="A164" t="s">
        <v>651</v>
      </c>
    </row>
    <row r="165" spans="1:1">
      <c r="A165" t="s">
        <v>652</v>
      </c>
    </row>
    <row r="166" spans="1:1">
      <c r="A166" t="s">
        <v>653</v>
      </c>
    </row>
    <row r="167" spans="1:1">
      <c r="A167" t="s">
        <v>654</v>
      </c>
    </row>
    <row r="168" spans="1:1">
      <c r="A168" t="s">
        <v>655</v>
      </c>
    </row>
    <row r="169" spans="1:1">
      <c r="A169" t="s">
        <v>656</v>
      </c>
    </row>
    <row r="170" spans="1:1">
      <c r="A170" t="s">
        <v>657</v>
      </c>
    </row>
    <row r="171" spans="1:1">
      <c r="A171" t="s">
        <v>658</v>
      </c>
    </row>
    <row r="172" spans="1:1">
      <c r="A172" t="s">
        <v>659</v>
      </c>
    </row>
    <row r="173" spans="1:1">
      <c r="A173" t="s">
        <v>660</v>
      </c>
    </row>
    <row r="174" spans="1:1">
      <c r="A174" t="s">
        <v>661</v>
      </c>
    </row>
    <row r="175" spans="1:1">
      <c r="A175" t="s">
        <v>662</v>
      </c>
    </row>
    <row r="176" spans="1:1">
      <c r="A176" t="s">
        <v>663</v>
      </c>
    </row>
    <row r="177" spans="1:1">
      <c r="A177" t="s">
        <v>664</v>
      </c>
    </row>
    <row r="178" spans="1:1">
      <c r="A178" t="s">
        <v>665</v>
      </c>
    </row>
    <row r="179" spans="1:1">
      <c r="A179" t="s">
        <v>666</v>
      </c>
    </row>
    <row r="180" spans="1:1">
      <c r="A180" t="s">
        <v>667</v>
      </c>
    </row>
    <row r="181" spans="1:1">
      <c r="A181" t="s">
        <v>668</v>
      </c>
    </row>
    <row r="182" spans="1:1">
      <c r="A182" t="s">
        <v>669</v>
      </c>
    </row>
    <row r="183" spans="1:1">
      <c r="A183" t="s">
        <v>670</v>
      </c>
    </row>
    <row r="184" spans="1:1">
      <c r="A184" t="s">
        <v>671</v>
      </c>
    </row>
    <row r="185" spans="1:1">
      <c r="A185" t="s">
        <v>672</v>
      </c>
    </row>
    <row r="186" spans="1:1">
      <c r="A186" t="s">
        <v>673</v>
      </c>
    </row>
    <row r="187" spans="1:1">
      <c r="A187" t="s">
        <v>674</v>
      </c>
    </row>
    <row r="188" spans="1:1">
      <c r="A188" t="s">
        <v>675</v>
      </c>
    </row>
    <row r="189" spans="1:1">
      <c r="A189" t="s">
        <v>676</v>
      </c>
    </row>
    <row r="190" spans="1:1">
      <c r="A190" t="s">
        <v>677</v>
      </c>
    </row>
    <row r="191" spans="1:1">
      <c r="A191" t="s">
        <v>678</v>
      </c>
    </row>
    <row r="192" spans="1:1">
      <c r="A192" t="s">
        <v>679</v>
      </c>
    </row>
    <row r="193" spans="1:1">
      <c r="A193" t="s">
        <v>680</v>
      </c>
    </row>
    <row r="194" spans="1:1">
      <c r="A194" t="s">
        <v>681</v>
      </c>
    </row>
    <row r="195" spans="1:1">
      <c r="A195" t="s">
        <v>682</v>
      </c>
    </row>
    <row r="196" spans="1:1">
      <c r="A196" t="s">
        <v>683</v>
      </c>
    </row>
    <row r="197" spans="1:1">
      <c r="A197" t="s">
        <v>684</v>
      </c>
    </row>
    <row r="198" spans="1:1">
      <c r="A198" t="s">
        <v>685</v>
      </c>
    </row>
    <row r="199" spans="1:1">
      <c r="A199" t="s">
        <v>686</v>
      </c>
    </row>
    <row r="200" spans="1:1">
      <c r="A200" t="s">
        <v>687</v>
      </c>
    </row>
    <row r="201" spans="1:1">
      <c r="A201" t="s">
        <v>688</v>
      </c>
    </row>
    <row r="202" spans="1:1">
      <c r="A202" t="s">
        <v>689</v>
      </c>
    </row>
    <row r="203" spans="1:1">
      <c r="A203" t="s">
        <v>690</v>
      </c>
    </row>
    <row r="204" spans="1:1">
      <c r="A204" t="s">
        <v>691</v>
      </c>
    </row>
    <row r="205" spans="1:1">
      <c r="A205" t="s">
        <v>692</v>
      </c>
    </row>
    <row r="206" spans="1:1">
      <c r="A206" t="s">
        <v>693</v>
      </c>
    </row>
    <row r="207" spans="1:1">
      <c r="A207" t="s">
        <v>694</v>
      </c>
    </row>
    <row r="208" spans="1:1">
      <c r="A208" t="s">
        <v>695</v>
      </c>
    </row>
    <row r="209" spans="1:1">
      <c r="A209" t="s">
        <v>696</v>
      </c>
    </row>
    <row r="210" spans="1:1">
      <c r="A210" t="s">
        <v>697</v>
      </c>
    </row>
    <row r="211" spans="1:1">
      <c r="A211" t="s">
        <v>698</v>
      </c>
    </row>
    <row r="212" spans="1:1">
      <c r="A212" t="s">
        <v>699</v>
      </c>
    </row>
    <row r="213" spans="1:1">
      <c r="A213" t="s">
        <v>700</v>
      </c>
    </row>
    <row r="214" spans="1:1">
      <c r="A214" t="s">
        <v>701</v>
      </c>
    </row>
    <row r="215" spans="1:1">
      <c r="A215" t="s">
        <v>702</v>
      </c>
    </row>
    <row r="216" spans="1:1">
      <c r="A216" t="s">
        <v>703</v>
      </c>
    </row>
    <row r="217" spans="1:1">
      <c r="A217" t="s">
        <v>704</v>
      </c>
    </row>
    <row r="218" spans="1:1">
      <c r="A218" t="s">
        <v>704</v>
      </c>
    </row>
    <row r="219" spans="1:1">
      <c r="A219" t="s">
        <v>705</v>
      </c>
    </row>
    <row r="220" spans="1:1">
      <c r="A220" t="s">
        <v>706</v>
      </c>
    </row>
    <row r="221" spans="1:1">
      <c r="A221" t="s">
        <v>707</v>
      </c>
    </row>
    <row r="222" spans="1:1">
      <c r="A222" t="s">
        <v>708</v>
      </c>
    </row>
    <row r="223" spans="1:1">
      <c r="A223" t="s">
        <v>709</v>
      </c>
    </row>
    <row r="224" spans="1:1">
      <c r="A224" t="s">
        <v>710</v>
      </c>
    </row>
    <row r="225" spans="1:1">
      <c r="A225" t="s">
        <v>711</v>
      </c>
    </row>
    <row r="226" spans="1:1">
      <c r="A226" t="s">
        <v>712</v>
      </c>
    </row>
    <row r="227" spans="1:1">
      <c r="A227" t="s">
        <v>713</v>
      </c>
    </row>
    <row r="228" spans="1:1">
      <c r="A228" t="s">
        <v>714</v>
      </c>
    </row>
    <row r="229" spans="1:1">
      <c r="A229" t="s">
        <v>715</v>
      </c>
    </row>
    <row r="230" spans="1:1">
      <c r="A230" t="s">
        <v>716</v>
      </c>
    </row>
    <row r="231" spans="1:1">
      <c r="A231" t="s">
        <v>717</v>
      </c>
    </row>
    <row r="232" spans="1:1">
      <c r="A232" t="s">
        <v>718</v>
      </c>
    </row>
    <row r="233" spans="1:1">
      <c r="A233" t="s">
        <v>719</v>
      </c>
    </row>
    <row r="234" spans="1:1">
      <c r="A234" t="s">
        <v>720</v>
      </c>
    </row>
    <row r="235" spans="1:1">
      <c r="A235" t="s">
        <v>721</v>
      </c>
    </row>
    <row r="236" spans="1:1">
      <c r="A236" t="s">
        <v>722</v>
      </c>
    </row>
    <row r="237" spans="1:1">
      <c r="A237" t="s">
        <v>723</v>
      </c>
    </row>
    <row r="238" spans="1:1">
      <c r="A238" t="s">
        <v>724</v>
      </c>
    </row>
    <row r="239" spans="1:1">
      <c r="A239" t="s">
        <v>725</v>
      </c>
    </row>
    <row r="240" spans="1:1">
      <c r="A240" t="s">
        <v>726</v>
      </c>
    </row>
    <row r="241" spans="1:1">
      <c r="A241" t="s">
        <v>727</v>
      </c>
    </row>
    <row r="242" spans="1:1">
      <c r="A242" t="s">
        <v>728</v>
      </c>
    </row>
    <row r="243" spans="1:1">
      <c r="A243" t="s">
        <v>729</v>
      </c>
    </row>
    <row r="244" spans="1:1">
      <c r="A244" t="s">
        <v>730</v>
      </c>
    </row>
    <row r="245" spans="1:1">
      <c r="A245" t="s">
        <v>731</v>
      </c>
    </row>
    <row r="246" spans="1:1">
      <c r="A246" t="s">
        <v>732</v>
      </c>
    </row>
    <row r="247" spans="1:1">
      <c r="A247" t="s">
        <v>733</v>
      </c>
    </row>
    <row r="248" spans="1:1">
      <c r="A248" t="s">
        <v>734</v>
      </c>
    </row>
    <row r="249" spans="1:1">
      <c r="A249" t="s">
        <v>735</v>
      </c>
    </row>
    <row r="250" spans="1:1">
      <c r="A250" t="s">
        <v>736</v>
      </c>
    </row>
    <row r="251" spans="1:1">
      <c r="A251" t="s">
        <v>737</v>
      </c>
    </row>
    <row r="252" spans="1:1">
      <c r="A252" t="s">
        <v>738</v>
      </c>
    </row>
    <row r="253" spans="1:1">
      <c r="A253" t="s">
        <v>739</v>
      </c>
    </row>
    <row r="254" spans="1:1">
      <c r="A254" t="s">
        <v>740</v>
      </c>
    </row>
    <row r="255" spans="1:1">
      <c r="A255" t="s">
        <v>741</v>
      </c>
    </row>
    <row r="256" spans="1:1">
      <c r="A256" t="s">
        <v>742</v>
      </c>
    </row>
    <row r="257" spans="1:1">
      <c r="A257" t="s">
        <v>743</v>
      </c>
    </row>
    <row r="258" spans="1:1">
      <c r="A258" t="s">
        <v>744</v>
      </c>
    </row>
    <row r="259" spans="1:1">
      <c r="A259" t="s">
        <v>745</v>
      </c>
    </row>
    <row r="260" spans="1:1">
      <c r="A260" t="s">
        <v>746</v>
      </c>
    </row>
    <row r="261" spans="1:1">
      <c r="A261" t="s">
        <v>747</v>
      </c>
    </row>
    <row r="262" spans="1:1">
      <c r="A262" t="s">
        <v>748</v>
      </c>
    </row>
    <row r="263" spans="1:1">
      <c r="A263" t="s">
        <v>749</v>
      </c>
    </row>
    <row r="264" spans="1:1">
      <c r="A264" t="s">
        <v>750</v>
      </c>
    </row>
    <row r="265" spans="1:1">
      <c r="A265" t="s">
        <v>751</v>
      </c>
    </row>
    <row r="266" spans="1:1">
      <c r="A266" t="s">
        <v>752</v>
      </c>
    </row>
    <row r="267" spans="1:1">
      <c r="A267" t="s">
        <v>753</v>
      </c>
    </row>
    <row r="268" spans="1:1">
      <c r="A268" t="s">
        <v>754</v>
      </c>
    </row>
    <row r="269" spans="1:1">
      <c r="A269" t="s">
        <v>755</v>
      </c>
    </row>
    <row r="270" spans="1:1">
      <c r="A270" t="s">
        <v>756</v>
      </c>
    </row>
    <row r="271" spans="1:1">
      <c r="A271" t="s">
        <v>757</v>
      </c>
    </row>
    <row r="272" spans="1:1">
      <c r="A272" t="s">
        <v>758</v>
      </c>
    </row>
    <row r="273" spans="1:1">
      <c r="A273" t="s">
        <v>759</v>
      </c>
    </row>
    <row r="274" spans="1:1">
      <c r="A274" t="s">
        <v>760</v>
      </c>
    </row>
    <row r="275" spans="1:1">
      <c r="A275" t="s">
        <v>761</v>
      </c>
    </row>
    <row r="276" spans="1:1">
      <c r="A276" t="s">
        <v>762</v>
      </c>
    </row>
    <row r="277" spans="1:1">
      <c r="A277" t="s">
        <v>763</v>
      </c>
    </row>
    <row r="278" spans="1:1">
      <c r="A278" t="s">
        <v>764</v>
      </c>
    </row>
    <row r="279" spans="1:1">
      <c r="A279" t="s">
        <v>765</v>
      </c>
    </row>
    <row r="280" spans="1:1">
      <c r="A280" t="s">
        <v>766</v>
      </c>
    </row>
    <row r="281" spans="1:1">
      <c r="A281" t="s">
        <v>767</v>
      </c>
    </row>
    <row r="282" spans="1:1">
      <c r="A282" t="s">
        <v>768</v>
      </c>
    </row>
    <row r="283" spans="1:1">
      <c r="A283" t="s">
        <v>769</v>
      </c>
    </row>
    <row r="284" spans="1:1">
      <c r="A284" t="s">
        <v>770</v>
      </c>
    </row>
    <row r="285" spans="1:1">
      <c r="A285" t="s">
        <v>771</v>
      </c>
    </row>
    <row r="286" spans="1:1">
      <c r="A286" t="s">
        <v>772</v>
      </c>
    </row>
    <row r="287" spans="1:1">
      <c r="A287" t="s">
        <v>773</v>
      </c>
    </row>
    <row r="288" spans="1:1">
      <c r="A288" t="s">
        <v>774</v>
      </c>
    </row>
    <row r="289" spans="1:1">
      <c r="A289" t="s">
        <v>775</v>
      </c>
    </row>
    <row r="290" spans="1:1">
      <c r="A290" t="s">
        <v>776</v>
      </c>
    </row>
    <row r="291" spans="1:1">
      <c r="A291" t="s">
        <v>777</v>
      </c>
    </row>
    <row r="292" spans="1:1">
      <c r="A292" t="s">
        <v>778</v>
      </c>
    </row>
    <row r="293" spans="1:1">
      <c r="A293" t="s">
        <v>779</v>
      </c>
    </row>
    <row r="294" spans="1:1">
      <c r="A294" t="s">
        <v>780</v>
      </c>
    </row>
    <row r="295" spans="1:1">
      <c r="A295" t="s">
        <v>781</v>
      </c>
    </row>
    <row r="296" spans="1:1">
      <c r="A296" t="s">
        <v>782</v>
      </c>
    </row>
    <row r="297" spans="1:1">
      <c r="A297" t="s">
        <v>783</v>
      </c>
    </row>
    <row r="298" spans="1:1">
      <c r="A298" t="s">
        <v>784</v>
      </c>
    </row>
    <row r="299" spans="1:1">
      <c r="A299" t="s">
        <v>785</v>
      </c>
    </row>
    <row r="300" spans="1:1">
      <c r="A300" t="s">
        <v>786</v>
      </c>
    </row>
    <row r="301" spans="1:1">
      <c r="A301" t="s">
        <v>787</v>
      </c>
    </row>
    <row r="302" spans="1:1">
      <c r="A302" t="s">
        <v>788</v>
      </c>
    </row>
    <row r="303" spans="1:1">
      <c r="A303" t="s">
        <v>789</v>
      </c>
    </row>
    <row r="304" spans="1:1">
      <c r="A304" t="s">
        <v>790</v>
      </c>
    </row>
    <row r="305" spans="1:1">
      <c r="A305" t="s">
        <v>791</v>
      </c>
    </row>
    <row r="306" spans="1:1">
      <c r="A306" t="s">
        <v>792</v>
      </c>
    </row>
    <row r="307" spans="1:1">
      <c r="A307" t="s">
        <v>793</v>
      </c>
    </row>
    <row r="308" spans="1:1">
      <c r="A308" t="s">
        <v>794</v>
      </c>
    </row>
    <row r="309" spans="1:1">
      <c r="A309" t="s">
        <v>795</v>
      </c>
    </row>
    <row r="310" spans="1:1">
      <c r="A310" t="s">
        <v>796</v>
      </c>
    </row>
    <row r="311" spans="1:1">
      <c r="A311" t="s">
        <v>797</v>
      </c>
    </row>
    <row r="312" spans="1:1">
      <c r="A312" t="s">
        <v>798</v>
      </c>
    </row>
    <row r="313" spans="1:1">
      <c r="A313" t="s">
        <v>799</v>
      </c>
    </row>
    <row r="314" spans="1:1">
      <c r="A314" t="s">
        <v>800</v>
      </c>
    </row>
    <row r="315" spans="1:1">
      <c r="A315" t="s">
        <v>801</v>
      </c>
    </row>
    <row r="316" spans="1:1">
      <c r="A316" t="s">
        <v>802</v>
      </c>
    </row>
    <row r="317" spans="1:1">
      <c r="A317" t="s">
        <v>803</v>
      </c>
    </row>
    <row r="318" spans="1:1">
      <c r="A318" t="s">
        <v>804</v>
      </c>
    </row>
    <row r="319" spans="1:1">
      <c r="A319" t="s">
        <v>805</v>
      </c>
    </row>
    <row r="320" spans="1:1">
      <c r="A320" t="s">
        <v>806</v>
      </c>
    </row>
    <row r="321" spans="1:1">
      <c r="A321" t="s">
        <v>807</v>
      </c>
    </row>
    <row r="322" spans="1:1">
      <c r="A322" t="s">
        <v>808</v>
      </c>
    </row>
    <row r="323" spans="1:1">
      <c r="A323" t="s">
        <v>809</v>
      </c>
    </row>
    <row r="324" spans="1:1">
      <c r="A324" t="s">
        <v>810</v>
      </c>
    </row>
    <row r="325" spans="1:1">
      <c r="A325" t="s">
        <v>811</v>
      </c>
    </row>
    <row r="326" spans="1:1">
      <c r="A326" t="s">
        <v>812</v>
      </c>
    </row>
    <row r="327" spans="1:1">
      <c r="A327" t="s">
        <v>813</v>
      </c>
    </row>
    <row r="328" spans="1:1">
      <c r="A328" t="s">
        <v>814</v>
      </c>
    </row>
    <row r="329" spans="1:1">
      <c r="A329" t="s">
        <v>815</v>
      </c>
    </row>
    <row r="330" spans="1:1">
      <c r="A330" t="s">
        <v>816</v>
      </c>
    </row>
    <row r="331" spans="1:1">
      <c r="A331" t="s">
        <v>817</v>
      </c>
    </row>
    <row r="332" spans="1:1">
      <c r="A332" t="s">
        <v>818</v>
      </c>
    </row>
    <row r="333" spans="1:1">
      <c r="A333" t="s">
        <v>819</v>
      </c>
    </row>
    <row r="334" spans="1:1">
      <c r="A334" t="s">
        <v>820</v>
      </c>
    </row>
    <row r="335" spans="1:1">
      <c r="A335" t="s">
        <v>821</v>
      </c>
    </row>
    <row r="336" spans="1:1">
      <c r="A336" t="s">
        <v>822</v>
      </c>
    </row>
    <row r="337" spans="1:1">
      <c r="A337" t="s">
        <v>823</v>
      </c>
    </row>
    <row r="338" spans="1:1">
      <c r="A338" t="s">
        <v>824</v>
      </c>
    </row>
    <row r="339" spans="1:1">
      <c r="A339" t="s">
        <v>825</v>
      </c>
    </row>
    <row r="340" spans="1:1">
      <c r="A340" t="s">
        <v>826</v>
      </c>
    </row>
    <row r="341" spans="1:1">
      <c r="A341" t="s">
        <v>827</v>
      </c>
    </row>
    <row r="342" spans="1:1">
      <c r="A342" t="s">
        <v>828</v>
      </c>
    </row>
    <row r="343" spans="1:1">
      <c r="A343" t="s">
        <v>829</v>
      </c>
    </row>
    <row r="344" spans="1:1">
      <c r="A344" t="s">
        <v>830</v>
      </c>
    </row>
    <row r="345" spans="1:1">
      <c r="A345" t="s">
        <v>831</v>
      </c>
    </row>
    <row r="346" spans="1:1">
      <c r="A346" t="s">
        <v>832</v>
      </c>
    </row>
    <row r="347" spans="1:1">
      <c r="A347" t="s">
        <v>832</v>
      </c>
    </row>
    <row r="348" spans="1:1">
      <c r="A348" t="s">
        <v>833</v>
      </c>
    </row>
    <row r="349" spans="1:1">
      <c r="A349" t="s">
        <v>834</v>
      </c>
    </row>
    <row r="350" spans="1:1">
      <c r="A350" t="s">
        <v>835</v>
      </c>
    </row>
    <row r="351" spans="1:1">
      <c r="A351" t="s">
        <v>836</v>
      </c>
    </row>
    <row r="352" spans="1:1">
      <c r="A352" t="s">
        <v>837</v>
      </c>
    </row>
    <row r="353" spans="1:1">
      <c r="A353" t="s">
        <v>838</v>
      </c>
    </row>
    <row r="354" spans="1:1">
      <c r="A354" t="s">
        <v>839</v>
      </c>
    </row>
    <row r="355" spans="1:1">
      <c r="A355" t="s">
        <v>840</v>
      </c>
    </row>
    <row r="356" spans="1:1">
      <c r="A356" t="s">
        <v>841</v>
      </c>
    </row>
    <row r="357" spans="1:1">
      <c r="A357" t="s">
        <v>842</v>
      </c>
    </row>
    <row r="358" spans="1:1">
      <c r="A358" t="s">
        <v>843</v>
      </c>
    </row>
    <row r="359" spans="1:1">
      <c r="A359" t="s">
        <v>844</v>
      </c>
    </row>
    <row r="360" spans="1:1">
      <c r="A360" t="s">
        <v>845</v>
      </c>
    </row>
    <row r="361" spans="1:1">
      <c r="A361" t="s">
        <v>846</v>
      </c>
    </row>
    <row r="362" spans="1:1">
      <c r="A362" t="s">
        <v>847</v>
      </c>
    </row>
    <row r="363" spans="1:1">
      <c r="A363" t="s">
        <v>848</v>
      </c>
    </row>
    <row r="364" spans="1:1">
      <c r="A364" t="s">
        <v>849</v>
      </c>
    </row>
    <row r="365" spans="1:1">
      <c r="A365" t="s">
        <v>850</v>
      </c>
    </row>
    <row r="366" spans="1:1">
      <c r="A366" t="s">
        <v>851</v>
      </c>
    </row>
    <row r="367" spans="1:1">
      <c r="A367" t="s">
        <v>852</v>
      </c>
    </row>
    <row r="368" spans="1:1">
      <c r="A368" t="s">
        <v>853</v>
      </c>
    </row>
    <row r="369" spans="1:1">
      <c r="A369" t="s">
        <v>854</v>
      </c>
    </row>
    <row r="370" spans="1:1">
      <c r="A370" t="s">
        <v>855</v>
      </c>
    </row>
    <row r="371" spans="1:1">
      <c r="A371" t="s">
        <v>856</v>
      </c>
    </row>
    <row r="372" spans="1:1">
      <c r="A372" t="s">
        <v>857</v>
      </c>
    </row>
    <row r="373" spans="1:1">
      <c r="A373" t="s">
        <v>858</v>
      </c>
    </row>
    <row r="374" spans="1:1">
      <c r="A374" t="s">
        <v>859</v>
      </c>
    </row>
    <row r="375" spans="1:1">
      <c r="A375" t="s">
        <v>860</v>
      </c>
    </row>
    <row r="376" spans="1:1">
      <c r="A376" t="s">
        <v>861</v>
      </c>
    </row>
    <row r="377" spans="1:1">
      <c r="A377" t="s">
        <v>862</v>
      </c>
    </row>
    <row r="378" spans="1:1">
      <c r="A378" t="s">
        <v>863</v>
      </c>
    </row>
    <row r="379" spans="1:1">
      <c r="A379" t="s">
        <v>864</v>
      </c>
    </row>
    <row r="380" spans="1:1">
      <c r="A380" t="s">
        <v>865</v>
      </c>
    </row>
    <row r="381" spans="1:1">
      <c r="A381" t="s">
        <v>866</v>
      </c>
    </row>
    <row r="382" spans="1:1">
      <c r="A382" t="s">
        <v>867</v>
      </c>
    </row>
    <row r="383" spans="1:1">
      <c r="A383" t="s">
        <v>868</v>
      </c>
    </row>
    <row r="384" spans="1:1">
      <c r="A384" t="s">
        <v>869</v>
      </c>
    </row>
    <row r="385" spans="1:1">
      <c r="A385" t="s">
        <v>870</v>
      </c>
    </row>
    <row r="386" spans="1:1">
      <c r="A386" t="s">
        <v>871</v>
      </c>
    </row>
    <row r="387" spans="1:1">
      <c r="A387" t="s">
        <v>872</v>
      </c>
    </row>
    <row r="388" spans="1:1">
      <c r="A388" t="s">
        <v>873</v>
      </c>
    </row>
    <row r="389" spans="1:1">
      <c r="A389" t="s">
        <v>874</v>
      </c>
    </row>
    <row r="390" spans="1:1">
      <c r="A390" t="s">
        <v>875</v>
      </c>
    </row>
    <row r="391" spans="1:1">
      <c r="A391" t="s">
        <v>876</v>
      </c>
    </row>
    <row r="392" spans="1:1">
      <c r="A392" t="s">
        <v>877</v>
      </c>
    </row>
    <row r="393" spans="1:1">
      <c r="A393" t="s">
        <v>878</v>
      </c>
    </row>
    <row r="394" spans="1:1">
      <c r="A394" t="s">
        <v>879</v>
      </c>
    </row>
    <row r="395" spans="1:1">
      <c r="A395" t="s">
        <v>880</v>
      </c>
    </row>
    <row r="396" spans="1:1">
      <c r="A396" t="s">
        <v>881</v>
      </c>
    </row>
    <row r="397" spans="1:1">
      <c r="A397" t="s">
        <v>882</v>
      </c>
    </row>
    <row r="398" spans="1:1">
      <c r="A398" t="s">
        <v>883</v>
      </c>
    </row>
    <row r="399" spans="1:1">
      <c r="A399" t="s">
        <v>884</v>
      </c>
    </row>
    <row r="400" spans="1:1">
      <c r="A400" t="s">
        <v>885</v>
      </c>
    </row>
    <row r="401" spans="1:1">
      <c r="A401" t="s">
        <v>886</v>
      </c>
    </row>
    <row r="402" spans="1:1">
      <c r="A402" t="s">
        <v>887</v>
      </c>
    </row>
    <row r="403" spans="1:1">
      <c r="A403" t="s">
        <v>888</v>
      </c>
    </row>
    <row r="404" spans="1:1">
      <c r="A404" t="s">
        <v>889</v>
      </c>
    </row>
    <row r="405" spans="1:1">
      <c r="A405" t="s">
        <v>890</v>
      </c>
    </row>
    <row r="406" spans="1:1">
      <c r="A406" t="s">
        <v>891</v>
      </c>
    </row>
    <row r="407" spans="1:1">
      <c r="A407" t="s">
        <v>892</v>
      </c>
    </row>
    <row r="408" spans="1:1">
      <c r="A408" t="s">
        <v>893</v>
      </c>
    </row>
    <row r="409" spans="1:1">
      <c r="A409" t="s">
        <v>894</v>
      </c>
    </row>
    <row r="410" spans="1:1">
      <c r="A410" t="s">
        <v>895</v>
      </c>
    </row>
    <row r="411" spans="1:1">
      <c r="A411" t="s">
        <v>896</v>
      </c>
    </row>
    <row r="412" spans="1:1">
      <c r="A412" t="s">
        <v>897</v>
      </c>
    </row>
    <row r="413" spans="1:1">
      <c r="A413" t="s">
        <v>898</v>
      </c>
    </row>
    <row r="414" spans="1:1">
      <c r="A414" t="s">
        <v>899</v>
      </c>
    </row>
    <row r="415" spans="1:1">
      <c r="A415" t="s">
        <v>900</v>
      </c>
    </row>
    <row r="416" spans="1:1">
      <c r="A416" t="s">
        <v>901</v>
      </c>
    </row>
    <row r="417" spans="1:1">
      <c r="A417" t="s">
        <v>902</v>
      </c>
    </row>
    <row r="418" spans="1:1">
      <c r="A418" t="s">
        <v>903</v>
      </c>
    </row>
    <row r="419" spans="1:1">
      <c r="A419" t="s">
        <v>904</v>
      </c>
    </row>
    <row r="420" spans="1:1">
      <c r="A420" t="s">
        <v>905</v>
      </c>
    </row>
    <row r="421" spans="1:1">
      <c r="A421" t="s">
        <v>906</v>
      </c>
    </row>
    <row r="422" spans="1:1">
      <c r="A422" t="s">
        <v>907</v>
      </c>
    </row>
    <row r="423" spans="1:1">
      <c r="A423" t="s">
        <v>908</v>
      </c>
    </row>
    <row r="424" spans="1:1">
      <c r="A424" t="s">
        <v>909</v>
      </c>
    </row>
    <row r="425" spans="1:1">
      <c r="A425" t="s">
        <v>910</v>
      </c>
    </row>
    <row r="426" spans="1:1">
      <c r="A426" t="s">
        <v>911</v>
      </c>
    </row>
    <row r="427" spans="1:1">
      <c r="A427" t="s">
        <v>912</v>
      </c>
    </row>
    <row r="428" spans="1:1">
      <c r="A428" t="s">
        <v>913</v>
      </c>
    </row>
    <row r="429" spans="1:1">
      <c r="A429" t="s">
        <v>914</v>
      </c>
    </row>
    <row r="430" spans="1:1">
      <c r="A430" t="s">
        <v>915</v>
      </c>
    </row>
    <row r="431" spans="1:1">
      <c r="A431" t="s">
        <v>916</v>
      </c>
    </row>
    <row r="432" spans="1:1">
      <c r="A432" t="s">
        <v>917</v>
      </c>
    </row>
    <row r="433" spans="1:1">
      <c r="A433" t="s">
        <v>918</v>
      </c>
    </row>
    <row r="434" spans="1:1">
      <c r="A434" t="s">
        <v>919</v>
      </c>
    </row>
    <row r="435" spans="1:1">
      <c r="A435" t="s">
        <v>920</v>
      </c>
    </row>
    <row r="436" spans="1:1">
      <c r="A436" t="s">
        <v>921</v>
      </c>
    </row>
    <row r="437" spans="1:1">
      <c r="A437" t="s">
        <v>922</v>
      </c>
    </row>
    <row r="438" spans="1:1">
      <c r="A438" t="s">
        <v>922</v>
      </c>
    </row>
    <row r="439" spans="1:1">
      <c r="A439" t="s">
        <v>923</v>
      </c>
    </row>
    <row r="440" spans="1:1">
      <c r="A440" t="s">
        <v>924</v>
      </c>
    </row>
    <row r="441" spans="1:1">
      <c r="A441" t="s">
        <v>925</v>
      </c>
    </row>
    <row r="442" spans="1:1">
      <c r="A442" t="s">
        <v>926</v>
      </c>
    </row>
    <row r="443" spans="1:1">
      <c r="A443" t="s">
        <v>927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overview</vt:lpstr>
      <vt:lpstr>rules_aux_SC</vt:lpstr>
      <vt:lpstr>rules_aux_nsubj</vt:lpstr>
      <vt:lpstr>rules_aux_2_CLH_POS</vt:lpstr>
      <vt:lpstr>rules_aux_X_wo_vf</vt:lpstr>
      <vt:lpstr>sent_aux</vt:lpstr>
      <vt:lpstr>sent_aux_nsubj</vt:lpstr>
      <vt:lpstr>Total_all</vt:lpstr>
      <vt:lpstr>Total_pos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Anastasiia Aleksandrova</dc:creator>
  <cp:lastModifiedBy>Anastasiia Aleksandrova</cp:lastModifiedBy>
  <dcterms:created xsi:type="dcterms:W3CDTF">2026-03-01T08:59:57Z</dcterms:created>
  <dcterms:modified xsi:type="dcterms:W3CDTF">2026-03-12T15:53:22Z</dcterms:modified>
</cp:coreProperties>
</file>